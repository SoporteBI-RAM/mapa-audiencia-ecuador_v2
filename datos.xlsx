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tiscodesa-my.sharepoint.com/personal/soportebi_rangle_ec/Documents/1. CLIENTES/2. ANALITICA/3. HERRAMIENTAS/1. MAPA_INTERACTIVO/"/>
    </mc:Choice>
  </mc:AlternateContent>
  <xr:revisionPtr revIDLastSave="0" documentId="8_{38F6F9BC-5E3F-4EBD-972F-1DF008960AC4}" xr6:coauthVersionLast="47" xr6:coauthVersionMax="47" xr10:uidLastSave="{00000000-0000-0000-0000-000000000000}"/>
  <bookViews>
    <workbookView xWindow="-108" yWindow="-108" windowWidth="23256" windowHeight="12456" firstSheet="1" activeTab="1" xr2:uid="{4D758EA3-4928-4B2F-93CC-13DA44EE009D}"/>
  </bookViews>
  <sheets>
    <sheet name="BASE" sheetId="1" state="hidden" r:id="rId1"/>
    <sheet name="HOJA DE ENVÍO" sheetId="2" r:id="rId2"/>
  </sheets>
  <definedNames>
    <definedName name="_xlnm._FilterDatabase" localSheetId="0" hidden="1">BASE!$B$3:$G$77</definedName>
    <definedName name="_xlnm._FilterDatabase" localSheetId="1" hidden="1">'HOJA DE ENVÍO'!$A$1:$K$1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 l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60" i="1"/>
  <c r="I59" i="1"/>
  <c r="I58" i="1"/>
  <c r="H58" i="1"/>
  <c r="I57" i="1"/>
  <c r="H57" i="1"/>
  <c r="I56" i="1"/>
  <c r="I55" i="1"/>
  <c r="H55" i="1"/>
  <c r="I54" i="1"/>
  <c r="I53" i="1"/>
  <c r="I52" i="1"/>
  <c r="H52" i="1"/>
  <c r="H53" i="1"/>
  <c r="H54" i="1"/>
  <c r="H56" i="1"/>
  <c r="H59" i="1"/>
  <c r="H51" i="1"/>
  <c r="I51" i="1"/>
  <c r="I50" i="1"/>
  <c r="H50" i="1"/>
  <c r="I49" i="1"/>
  <c r="I48" i="1"/>
  <c r="I47" i="1"/>
  <c r="I46" i="1"/>
  <c r="I45" i="1"/>
  <c r="I44" i="1"/>
  <c r="I43" i="1"/>
  <c r="H43" i="1"/>
  <c r="I42" i="1"/>
  <c r="H42" i="1"/>
  <c r="I41" i="1"/>
  <c r="I40" i="1"/>
  <c r="I39" i="1"/>
  <c r="H39" i="1"/>
  <c r="I38" i="1"/>
  <c r="I37" i="1"/>
  <c r="I36" i="1"/>
  <c r="H36" i="1"/>
  <c r="I35" i="1"/>
  <c r="I34" i="1"/>
  <c r="I33" i="1"/>
  <c r="I32" i="1"/>
  <c r="I31" i="1"/>
  <c r="I30" i="1"/>
  <c r="H30" i="1"/>
  <c r="I29" i="1"/>
  <c r="I28" i="1"/>
  <c r="I27" i="1"/>
  <c r="H27" i="1"/>
  <c r="I26" i="1"/>
  <c r="I25" i="1"/>
  <c r="I24" i="1"/>
  <c r="H24" i="1"/>
  <c r="I23" i="1"/>
  <c r="I22" i="1"/>
  <c r="H22" i="1"/>
  <c r="I21" i="1"/>
  <c r="I20" i="1"/>
  <c r="H20" i="1"/>
  <c r="I19" i="1"/>
  <c r="I18" i="1"/>
  <c r="I17" i="1"/>
  <c r="H17" i="1"/>
  <c r="I16" i="1"/>
  <c r="I15" i="1"/>
  <c r="H15" i="1"/>
  <c r="H14" i="1"/>
  <c r="H16" i="1"/>
  <c r="H18" i="1"/>
  <c r="H19" i="1"/>
  <c r="H21" i="1"/>
  <c r="H23" i="1"/>
  <c r="H25" i="1"/>
  <c r="H26" i="1"/>
  <c r="H28" i="1"/>
  <c r="H29" i="1"/>
  <c r="H31" i="1"/>
  <c r="H32" i="1"/>
  <c r="H33" i="1"/>
  <c r="H34" i="1"/>
  <c r="H35" i="1"/>
  <c r="H37" i="1"/>
  <c r="H38" i="1"/>
  <c r="H40" i="1"/>
  <c r="H41" i="1"/>
  <c r="H44" i="1"/>
  <c r="H45" i="1"/>
  <c r="H46" i="1"/>
  <c r="H47" i="1"/>
  <c r="H48" i="1"/>
  <c r="H49" i="1"/>
  <c r="H13" i="1"/>
  <c r="I14" i="1"/>
  <c r="I13" i="1"/>
  <c r="I5" i="1"/>
  <c r="I6" i="1"/>
  <c r="I7" i="1"/>
  <c r="I8" i="1"/>
  <c r="I9" i="1"/>
  <c r="I10" i="1"/>
  <c r="I11" i="1"/>
  <c r="I12" i="1"/>
  <c r="I4" i="1"/>
  <c r="F17" i="1"/>
  <c r="F77" i="1"/>
  <c r="G77" i="1"/>
  <c r="F76" i="1"/>
  <c r="G76" i="1"/>
  <c r="F75" i="1"/>
  <c r="G75" i="1"/>
  <c r="F74" i="1"/>
  <c r="G74" i="1"/>
  <c r="F73" i="1"/>
  <c r="G73" i="1"/>
  <c r="F72" i="1"/>
  <c r="G72" i="1"/>
  <c r="F71" i="1"/>
  <c r="G71" i="1"/>
  <c r="F70" i="1"/>
  <c r="G70" i="1"/>
  <c r="F69" i="1"/>
  <c r="G69" i="1"/>
  <c r="F68" i="1"/>
  <c r="G68" i="1"/>
  <c r="F67" i="1"/>
  <c r="G67" i="1"/>
  <c r="F66" i="1"/>
  <c r="G66" i="1"/>
  <c r="F65" i="1"/>
  <c r="G65" i="1"/>
  <c r="F64" i="1"/>
  <c r="G64" i="1"/>
  <c r="F63" i="1"/>
  <c r="G63" i="1"/>
  <c r="F62" i="1"/>
  <c r="G62" i="1"/>
  <c r="F61" i="1"/>
  <c r="G61" i="1"/>
  <c r="F60" i="1"/>
  <c r="G60" i="1"/>
  <c r="F59" i="1"/>
  <c r="G59" i="1"/>
  <c r="F58" i="1"/>
  <c r="G58" i="1"/>
  <c r="F57" i="1"/>
  <c r="G57" i="1"/>
  <c r="F56" i="1"/>
  <c r="G56" i="1"/>
  <c r="F55" i="1"/>
  <c r="G55" i="1"/>
  <c r="F54" i="1"/>
  <c r="G54" i="1"/>
  <c r="F53" i="1"/>
  <c r="G53" i="1"/>
  <c r="F52" i="1"/>
  <c r="G52" i="1"/>
  <c r="F51" i="1"/>
  <c r="G51" i="1"/>
  <c r="F13" i="1"/>
  <c r="G13" i="1"/>
  <c r="F14" i="1"/>
  <c r="G14" i="1"/>
  <c r="F15" i="1"/>
  <c r="G15" i="1"/>
  <c r="F16" i="1"/>
  <c r="G16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12" i="1"/>
  <c r="G12" i="1"/>
  <c r="F11" i="1"/>
  <c r="G11" i="1"/>
  <c r="F10" i="1"/>
  <c r="G10" i="1"/>
  <c r="F6" i="1"/>
  <c r="G6" i="1"/>
  <c r="F7" i="1"/>
  <c r="G7" i="1"/>
  <c r="F8" i="1"/>
  <c r="G8" i="1"/>
  <c r="F9" i="1"/>
  <c r="G9" i="1"/>
  <c r="G5" i="1"/>
  <c r="F5" i="1"/>
  <c r="G4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tc={581C8D01-1A31-48B4-937F-03299F954C0E}</author>
  </authors>
  <commentList>
    <comment ref="E44" authorId="0" shapeId="0" xr:uid="{581C8D01-1A31-48B4-937F-03299F954C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MY MAPS ESTA TIENE UNA COORDENADA DE QUEVEDO. SIN EMBARGO YA CAMBIÉ SEGÚN LA REFERENCIA DE LA DIRECCIÓN. SOLO FALTA CAMBIAR EN EL MY MAPS</t>
      </text>
    </comment>
  </commentList>
</comments>
</file>

<file path=xl/sharedStrings.xml><?xml version="1.0" encoding="utf-8"?>
<sst xmlns="http://schemas.openxmlformats.org/spreadsheetml/2006/main" count="695" uniqueCount="207">
  <si>
    <t>PANTALLAS LED OOH</t>
  </si>
  <si>
    <t>PROVEEDOR</t>
  </si>
  <si>
    <t>CIUDAD</t>
  </si>
  <si>
    <t>DIRECCIÓN</t>
  </si>
  <si>
    <t>COORDENADAS JUNTAS</t>
  </si>
  <si>
    <t>COORDENADAS 1</t>
  </si>
  <si>
    <t>COORDENADAS 2</t>
  </si>
  <si>
    <t xml:space="preserve">ALCANCE </t>
  </si>
  <si>
    <t>ALCANCE MENSUAL</t>
  </si>
  <si>
    <t>GRAN COMERCIO</t>
  </si>
  <si>
    <t>GUAYAQUIL</t>
  </si>
  <si>
    <t>ORELLANA Y JOSE ALVEAR</t>
  </si>
  <si>
    <t>-2.167833333333325  -79.89638888888892</t>
  </si>
  <si>
    <t>AV. AMERICAS Y BLANCA MUÑOZ</t>
  </si>
  <si>
    <t>-2.1745305000000057 -79.8916152</t>
  </si>
  <si>
    <t>QUITO</t>
  </si>
  <si>
    <t>AV. AMAZONAS Y NNUU</t>
  </si>
  <si>
    <t>-0.1762262999999704 -78.48585350000002</t>
  </si>
  <si>
    <t>AV. EL INCA Y AV. 6 DE DICIEMBRE</t>
  </si>
  <si>
    <t>-0.15431534096117855 -78.47742365285848</t>
  </si>
  <si>
    <t>AV. PEDRO VICENTE MALDONADO  Y MORASPUNGO</t>
  </si>
  <si>
    <t>-0.2548339614220493 -78.52250100613422</t>
  </si>
  <si>
    <t>SAN RAFAEL</t>
  </si>
  <si>
    <t>-0.3035665000000125 -78.45426370000001</t>
  </si>
  <si>
    <t>OSWALDO GUAYASAMIN</t>
  </si>
  <si>
    <t>-0.20873434414394892 -78.4249163201297</t>
  </si>
  <si>
    <t>AV. REPUBLICA Y AV. ELOY ALFARO</t>
  </si>
  <si>
    <t>-0.1912759999999955 -78.48622400000002</t>
  </si>
  <si>
    <t>STO DOMINGO</t>
  </si>
  <si>
    <t>AV. QUITO JUNTO AL SRI</t>
  </si>
  <si>
    <t>-0.24857759999998094 -79.1579837</t>
  </si>
  <si>
    <t>INDUVALLAS</t>
  </si>
  <si>
    <t>PANAMERICANA NORTE DIAGONAL AL C.C EL PORTAL CARAPUNGO</t>
  </si>
  <si>
    <t>-0.10869444444442086 -78.46155555555556</t>
  </si>
  <si>
    <t>AV. OCCIDENTAL Y MANUEL CÓRDOVA GALARZA</t>
  </si>
  <si>
    <t>-0.10186111111111171 -78.49024999999999</t>
  </si>
  <si>
    <t>AV. LA PRENSA Y DIEGO DE VÁSQUEZ</t>
  </si>
  <si>
    <t>-0.12125000000001154 -78.4938888888888</t>
  </si>
  <si>
    <t>AV. 6 DE DICIEMBRE Y EL INCA</t>
  </si>
  <si>
    <t>-0.15397222222223542 -78.47672222222222</t>
  </si>
  <si>
    <t>AV. 6 DE DICIEMBRE Y RIO COCA</t>
  </si>
  <si>
    <t>-0.1636047707468734 -78.475110038728</t>
  </si>
  <si>
    <t>AV. ELOY ALFARO Y GRANADOS</t>
  </si>
  <si>
    <t>-0.16641666666668134 -78.46830555555556</t>
  </si>
  <si>
    <t>AV. AMÉRICA Y 10 DE AGOSTO ESQUINA</t>
  </si>
  <si>
    <t>-0.16861111111108085 -78.48733333333332</t>
  </si>
  <si>
    <t>AV. 6 DE DICIEMBRE Y NNUU ESTADIO OLÍMPICO ATAHUALPA</t>
  </si>
  <si>
    <t>-0.17758333333332527 -78.47761111111112</t>
  </si>
  <si>
    <t>AV. ELOY ALFARO Y PORTUGAL</t>
  </si>
  <si>
    <t>-0.18202777777777931 -78.47575000000002</t>
  </si>
  <si>
    <t>AV. AMAZONAS Y REPÚBLICA</t>
  </si>
  <si>
    <t>-0.18766666666666093 -78.48783333333333</t>
  </si>
  <si>
    <t>AV. AMAZONAS Y ATAHUALPA</t>
  </si>
  <si>
    <t>-0.18133333333331866 -78.48636111111112</t>
  </si>
  <si>
    <t>AV. AMÉRICA Y NACIONES UNIDAS</t>
  </si>
  <si>
    <t>-0.17413888888888132 -78.49347222222224</t>
  </si>
  <si>
    <t>AV. DIEGO DE ALMAGRO N32-331 Y SHYRIS</t>
  </si>
  <si>
    <t>-0.1908611111111087 -78.48202777777777</t>
  </si>
  <si>
    <t>AV. CORUÑA Y 12 DE OCTUBRE</t>
  </si>
  <si>
    <t>-0.20333333333335038 -78.48311111111111</t>
  </si>
  <si>
    <t>AV. MARIANA DE JESÚS, JUNTO AL HOSPITAL METROPOLITANO</t>
  </si>
  <si>
    <t>-0.18374999999999495 -78.50241666666666</t>
  </si>
  <si>
    <t>V. LADRÓN DE GUEVARA Y VELASCO IBARRA</t>
  </si>
  <si>
    <t>-0.21286111111111497 -78.48944444444446</t>
  </si>
  <si>
    <t>AV. ALONSO DE ANGULO Y LAURO GUERRERO</t>
  </si>
  <si>
    <t>-0.2476666666666572 -78.52597222222221</t>
  </si>
  <si>
    <t>AV. MALDONADO, ENTRADA C.C EL RECREO</t>
  </si>
  <si>
    <t>-0.24961111111109868 -78.52113888888888</t>
  </si>
  <si>
    <t>AV. TENIENTE HUGO ORTIZ Y CUSUBAMBA</t>
  </si>
  <si>
    <t>-0.27724999999998656 -78.54269444444442</t>
  </si>
  <si>
    <t>CUMBAYÁ, AV. INTEROCEÁNICA FRENTE A PASEO SAN FRANCISCO</t>
  </si>
  <si>
    <t>-0.19808333333332906 -78.43683333333334</t>
  </si>
  <si>
    <t>CUMBAYÁ, INTEROCEÁNICA REDONDEL BY PASS LUMBISÍ</t>
  </si>
  <si>
    <t>-0.20602777777778036 -78.43327777777777</t>
  </si>
  <si>
    <t>INTEROCEANICA CLUB DEPORTIVO EL NACIONAL ORIENTACIÓN CUMBAYÁ</t>
  </si>
  <si>
    <t>-0.2105833333333283 -78.42127777777777</t>
  </si>
  <si>
    <t>AV. FRANCISCO DE ORELLANA Y VICTOR HUGO SICOURET</t>
  </si>
  <si>
    <t>-2.1585555555555693 -79.89855555555556</t>
  </si>
  <si>
    <t>MACHALA Y GOMEZ RENDON</t>
  </si>
  <si>
    <t>-2.201805555555555 -79.89383333333333</t>
  </si>
  <si>
    <t>AV. LUIS PLAZA DAÑIN Y AV. SAN JORGE FRENTE A POLICENTRO</t>
  </si>
  <si>
    <t>-2.170916666666666 -79.89894444444445</t>
  </si>
  <si>
    <t>AV. LAS AGUAS, INGRESO A URDESA CENTRAL</t>
  </si>
  <si>
    <t>-2.161750000000017 -79.91144444444446</t>
  </si>
  <si>
    <t>AV. LUIS PLAZA DAÑIN Y ELIAS MUÑOZ, FRENTE A PRIMAX</t>
  </si>
  <si>
    <t>-2.17122222222219 -79.88966666666666</t>
  </si>
  <si>
    <t>GUILLERMO PAREJA Y HERMANO MIGUEL, PARTERRE CENTRAL</t>
  </si>
  <si>
    <t>-2.1506666666666585 -79.89280555555557</t>
  </si>
  <si>
    <t>AV. JUAN TANCA MARENGO ENTRADA A MARTHA DE ROLDOS</t>
  </si>
  <si>
    <t>-2.141722222222235 -79.9233888888889</t>
  </si>
  <si>
    <t>AV. PEDRO MENENDEZ GILBERT, PUENTE UNIDAD NACIONAL</t>
  </si>
  <si>
    <t>-2.1575555555555592 -79.88013888888888</t>
  </si>
  <si>
    <t>AV. DEL BOMBERO DIAGONAL A RIOCENTRO CEIBOS LED</t>
  </si>
  <si>
    <t>-2.1778055555555538 -79.94383333333332</t>
  </si>
  <si>
    <t>AV. LEÓN FEBRES CORDERO FRENTE A RIOCENTRO EL DORADO SAMBORONDÓN</t>
  </si>
  <si>
    <t>-2.056081 -79.875362</t>
  </si>
  <si>
    <t>MANTA</t>
  </si>
  <si>
    <t>AV. MALECÓN INGRESO PLAYA MURCIÉLAGO, C.C MALL DEL PACÍFICO</t>
  </si>
  <si>
    <t>-0.9415277777777779 -80.73063888888889</t>
  </si>
  <si>
    <t>AV. BARBASQUILLO, REDONDEL LA QUADRA</t>
  </si>
  <si>
    <t>-0.9461111111110834 -80.75202777777778&amp;</t>
  </si>
  <si>
    <t>AMBATO</t>
  </si>
  <si>
    <t>AV. JUAN MONTALVO ENTRE RODRIGO PACHANO Y GUAYTAMBOS</t>
  </si>
  <si>
    <t>-1.2376666666666847 -78.63350000000001</t>
  </si>
  <si>
    <t>AV. QUITO Y RIO CHIMBO</t>
  </si>
  <si>
    <t>-0.2526388888888866 -79.16547222222225</t>
  </si>
  <si>
    <t>IBARRA</t>
  </si>
  <si>
    <t>MARIANO ACOSTÓ Y FRAY GALINDO VACA</t>
  </si>
  <si>
    <t>0.34883333333333366 -78.12463888888888</t>
  </si>
  <si>
    <t>CUENCA</t>
  </si>
  <si>
    <t>AEROPUERTO MARISCAL LA MAR</t>
  </si>
  <si>
    <t>-2.8897600000000163 -78.98721199999999</t>
  </si>
  <si>
    <t>CREAMEDIOS</t>
  </si>
  <si>
    <t>AV. MIRAVALLE TERPEL</t>
  </si>
  <si>
    <t>-0.18849999999999845 -78.44772222222224</t>
  </si>
  <si>
    <t>AV. AMERICA Y BRASIL</t>
  </si>
  <si>
    <t>-0.17074999999999066 -78.49002777777777</t>
  </si>
  <si>
    <t>CONAUTO REDONDEL LA Y</t>
  </si>
  <si>
    <t>-0.16847222222220398 -78.48625000000001</t>
  </si>
  <si>
    <t>AV. DIEGO DE VASQUEZ Y JUAN DE CELIS</t>
  </si>
  <si>
    <t>-0.09327777777776576 -78.47905555555558</t>
  </si>
  <si>
    <t>ELOY ALFARO Y FERNANDO AYARZA</t>
  </si>
  <si>
    <t>-0.1861666666666839 -78.47811111111112</t>
  </si>
  <si>
    <t>AV. DE LAS AMÉRICAS – JUAN TANCA MERENGO</t>
  </si>
  <si>
    <t>-2.164250000000017 -79.8921388888889</t>
  </si>
  <si>
    <t>AV. JOSÉ MARÍA EGAS – PUENTE SAMBORONDÓN</t>
  </si>
  <si>
    <t>-2.1286944444444607 -79.8847777777778</t>
  </si>
  <si>
    <t>AV. JUAN JOSÉ – PUERTO SANTA ANA</t>
  </si>
  <si>
    <t>-2.1755833333333205 -79.87875</t>
  </si>
  <si>
    <t>AV. PLAZA DAÑÍN</t>
  </si>
  <si>
    <t>-2.1708611111111127 -79.88422222222223</t>
  </si>
  <si>
    <t>DUOPRINT</t>
  </si>
  <si>
    <t>AV. PEDRO MENÉNDEZ</t>
  </si>
  <si>
    <t>-2.168305600000007 -79.87980559999998</t>
  </si>
  <si>
    <t>CEIBOS, AV. DEL BOMBERO</t>
  </si>
  <si>
    <t>-2.173305555555534 -79.94030555555555</t>
  </si>
  <si>
    <t>AV. QUITO Y 9 DE OCTUBRE</t>
  </si>
  <si>
    <t>-2.1893600000000175 -79.88908</t>
  </si>
  <si>
    <t>CITY MALL</t>
  </si>
  <si>
    <t>-2.139805555555564 -79.9090277777778</t>
  </si>
  <si>
    <t>MALL DEL SUR</t>
  </si>
  <si>
    <t>-2.228027777777777 -79.89791666666667</t>
  </si>
  <si>
    <t>CENTRO DE CONVENCIONES</t>
  </si>
  <si>
    <t>-2.159388888888881 -79.88880555555556</t>
  </si>
  <si>
    <t>URDESA, AV. VICTOR EMILIO ESTRADA</t>
  </si>
  <si>
    <t>-2.1773611111111024 -79.90336111111111</t>
  </si>
  <si>
    <t>AV. PLAZA DAÑÍN Y AV. DE LAS AMÉRICAS</t>
  </si>
  <si>
    <t>-2.171305555555539 -79.89241666666668</t>
  </si>
  <si>
    <t>ALBORADA, AV. RODOLFO BAQUERIZO NAZUR</t>
  </si>
  <si>
    <t>-2.1397222222222023 -79.89830555555558</t>
  </si>
  <si>
    <t>SAMBORONDÓN</t>
  </si>
  <si>
    <t>-2.061250000000031 -79.8722222</t>
  </si>
  <si>
    <t>SAMBORONDÓN, VÍA A SALITRE</t>
  </si>
  <si>
    <t>-2.0456388888888566 -79.87025</t>
  </si>
  <si>
    <t>LA JOYA</t>
  </si>
  <si>
    <t>-2.050944444444444 -79.91383333333334</t>
  </si>
  <si>
    <t>AV MORÁN VALVERDE</t>
  </si>
  <si>
    <t>-0.282194444444433 -78.54347222222222</t>
  </si>
  <si>
    <t>AV. 6 DE DICIEMBRE Y GASPAR DE VILLAROEL</t>
  </si>
  <si>
    <t>-0.1704722222222242 -78.47594444444445</t>
  </si>
  <si>
    <t>AV. INTEROCEÁNICA Y AV. SIENNA</t>
  </si>
  <si>
    <t>-0.20708333333331833 -78.42741666666667</t>
  </si>
  <si>
    <t>AV. ELOY ALFARO Y MARIANA DE JESÚS</t>
  </si>
  <si>
    <t>-0.19175800000001844 -78.487796</t>
  </si>
  <si>
    <t>AV. FLAVIO REYES, INTERSECCIÓN VÍA A BARBASQUILLO</t>
  </si>
  <si>
    <t>-0.9449166666666559 -80.73372222222223</t>
  </si>
  <si>
    <t>AV ATHUALPA Y VICTOR HUGO</t>
  </si>
  <si>
    <t>-1.2640555555555664 -78.62786111111109</t>
  </si>
  <si>
    <t>PROVINCIA</t>
  </si>
  <si>
    <t>PARROQUIA</t>
  </si>
  <si>
    <t>ALCANCE MENSUAL UNICO (100%)</t>
  </si>
  <si>
    <t>ALCANCE 40%</t>
  </si>
  <si>
    <t>CIRCULACION TOTAL</t>
  </si>
  <si>
    <t>AZUAY</t>
  </si>
  <si>
    <t>HUAYNACAPAC</t>
  </si>
  <si>
    <t>PICHINCHA</t>
  </si>
  <si>
    <t>IÑAQUITO</t>
  </si>
  <si>
    <t>TUNGURAHUA</t>
  </si>
  <si>
    <t>HUACHI CHICO</t>
  </si>
  <si>
    <t>AV ATAHUALPA Y VICTOR HUGO</t>
  </si>
  <si>
    <t>QUITUMBE</t>
  </si>
  <si>
    <t>GUAYAS</t>
  </si>
  <si>
    <t>TARQUI</t>
  </si>
  <si>
    <t>NUEVE DE OCTUBRE</t>
  </si>
  <si>
    <t>COTOCOLLAO</t>
  </si>
  <si>
    <t>CHIMBACALLE</t>
  </si>
  <si>
    <t>MANABI</t>
  </si>
  <si>
    <t>JIPIJAPA</t>
  </si>
  <si>
    <t>XIMENA</t>
  </si>
  <si>
    <t>MARISCAL SUCRE</t>
  </si>
  <si>
    <t>LA AURORA (SATÉLITE)</t>
  </si>
  <si>
    <t>CHILLOGALLO</t>
  </si>
  <si>
    <t>LA PUNTILLA (SATELITE)</t>
  </si>
  <si>
    <t>ATOCHA - FICOA</t>
  </si>
  <si>
    <t>CUMBAYA</t>
  </si>
  <si>
    <t>AV. DE LOS SHYRIS Y GASPAR DE VILLAROEL</t>
  </si>
  <si>
    <t>LA MAGDALENA</t>
  </si>
  <si>
    <t>CARLOS JULIO AROSEMENA PUENTE VELASCO IBARRA</t>
  </si>
  <si>
    <t>EL QUINCHE</t>
  </si>
  <si>
    <t>SUCRE</t>
  </si>
  <si>
    <t>IMBABURA</t>
  </si>
  <si>
    <t>SAN FRANCISCO</t>
  </si>
  <si>
    <t>CHONGON</t>
  </si>
  <si>
    <t>VÍA A LA COSTA FRENTE A MI COMISARIATO</t>
  </si>
  <si>
    <t>RUMIÑAHUI</t>
  </si>
  <si>
    <t>SANTO DOMINGO DE LOS TSACHILAS</t>
  </si>
  <si>
    <t>SANTO DOMINGO DE LOS COLORADOS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</si>
</sst>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2060"/>
      <name val="Aptos Narrow"/>
      <family val="2"/>
      <scheme val="minor"/>
    </font>
    <font>
      <sz val="10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1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fia Paredes" id="{CE96D606-E752-4D80-8F29-FAB6FC650A99}" userId="S::sofia.paredes@rangle.ec::356b2e9a-383f-4c02-9ef8-bc9f3d5f1d3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4" dT="2025-09-19T17:53:49.92" personId="{CE96D606-E752-4D80-8F29-FAB6FC650A99}" id="{581C8D01-1A31-48B4-937F-03299F954C0E}">
    <text>EN EL MY MAPS ESTA TIENE UNA COORDENADA DE QUEVEDO. SIN EMBARGO YA CAMBIÉ SEGÚN LA REFERENCIA DE LA DIRECCIÓN. SOLO FALTA CAMBIAR EN EL MY MAPS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EE0E-7AD6-4995-B72A-C52803B55917}">
  <sheetPr filterMode="1"/>
  <dimension ref="B2:I77"/>
  <sheetViews>
    <sheetView topLeftCell="C3" workbookViewId="0">
      <selection activeCell="F44" sqref="F44:G44"/>
    </sheetView>
  </sheetViews>
  <sheetFormatPr baseColWidth="10" defaultColWidth="11.44140625" defaultRowHeight="14.4" x14ac:dyDescent="0.3"/>
  <cols>
    <col min="2" max="2" width="18.33203125" bestFit="1" customWidth="1"/>
    <col min="3" max="3" width="12.6640625" bestFit="1" customWidth="1"/>
    <col min="4" max="4" width="67.33203125" bestFit="1" customWidth="1"/>
    <col min="5" max="5" width="41.44140625" bestFit="1" customWidth="1"/>
    <col min="6" max="6" width="20.109375" bestFit="1" customWidth="1"/>
    <col min="7" max="7" width="18.109375" bestFit="1" customWidth="1"/>
    <col min="8" max="8" width="18.109375" hidden="1" customWidth="1"/>
    <col min="9" max="9" width="18.109375" customWidth="1"/>
  </cols>
  <sheetData>
    <row r="2" spans="2:9" ht="15.6" x14ac:dyDescent="0.3">
      <c r="B2" s="17" t="s">
        <v>0</v>
      </c>
      <c r="C2" s="18"/>
      <c r="D2" s="18"/>
      <c r="E2" s="18"/>
      <c r="F2" s="18"/>
      <c r="G2" s="18"/>
      <c r="H2" s="18"/>
      <c r="I2" s="19"/>
    </row>
    <row r="3" spans="2:9" ht="25.95" customHeight="1" x14ac:dyDescent="0.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1" t="s">
        <v>7</v>
      </c>
      <c r="I3" s="1" t="s">
        <v>8</v>
      </c>
    </row>
    <row r="4" spans="2:9" hidden="1" x14ac:dyDescent="0.3">
      <c r="B4" s="2" t="s">
        <v>9</v>
      </c>
      <c r="C4" s="2" t="s">
        <v>10</v>
      </c>
      <c r="D4" s="2" t="s">
        <v>11</v>
      </c>
      <c r="E4" s="2" t="s">
        <v>12</v>
      </c>
      <c r="F4" s="2" t="str">
        <f>LEFT(
  TRIM(E4),
  SEARCH("♦",
    SUBSTITUTE(TRIM(E4)," ","♦",
      IF(LEN(TRIM(E4))-LEN(SUBSTITUTE(TRIM(E4)," ",""))=1,1,2)
    )
  )-1
)</f>
        <v>-2.167833333333325</v>
      </c>
      <c r="G4" s="2" t="str">
        <f>RIGHT(
  TRIM(E4),
  LEN(TRIM(E4))-
  SEARCH("♦",
    SUBSTITUTE(TRIM(E4)," ","♦",
      IF(LEN(TRIM(E4))-LEN(SUBSTITUTE(TRIM(E4)," ",""))=1,1,2)
    )
  )
)</f>
        <v>-79.89638888888892</v>
      </c>
      <c r="H4" s="2">
        <v>185673</v>
      </c>
      <c r="I4" s="2">
        <f>(H4/5)*4</f>
        <v>148538.4</v>
      </c>
    </row>
    <row r="5" spans="2:9" hidden="1" x14ac:dyDescent="0.3">
      <c r="B5" s="2" t="s">
        <v>9</v>
      </c>
      <c r="C5" s="2" t="s">
        <v>10</v>
      </c>
      <c r="D5" s="2" t="s">
        <v>13</v>
      </c>
      <c r="E5" s="2" t="s">
        <v>14</v>
      </c>
      <c r="F5" s="2" t="str">
        <f>LEFT(
  TRIM(E5),
  SEARCH("♦",
    SUBSTITUTE(TRIM(E5)," ","♦",
      IF(LEN(TRIM(E5))-LEN(SUBSTITUTE(TRIM(E5)," ",""))=1,1,2)
    )
  )-1
)</f>
        <v>-2.1745305000000057</v>
      </c>
      <c r="G5" s="2" t="str">
        <f>RIGHT(
  TRIM(E5),
  LEN(TRIM(E5))-
  SEARCH("♦",
    SUBSTITUTE(TRIM(E5)," ","♦",
      IF(LEN(TRIM(E5))-LEN(SUBSTITUTE(TRIM(E5)," ",""))=1,1,2)
    )
  )
)</f>
        <v>-79.8916152</v>
      </c>
      <c r="H5" s="2">
        <v>426056</v>
      </c>
      <c r="I5" s="2">
        <f t="shared" ref="I5:I12" si="0">(H5/5)*4</f>
        <v>340844.79999999999</v>
      </c>
    </row>
    <row r="6" spans="2:9" hidden="1" x14ac:dyDescent="0.3">
      <c r="B6" s="2" t="s">
        <v>9</v>
      </c>
      <c r="C6" s="2" t="s">
        <v>15</v>
      </c>
      <c r="D6" s="2" t="s">
        <v>16</v>
      </c>
      <c r="E6" s="2" t="s">
        <v>17</v>
      </c>
      <c r="F6" s="2" t="str">
        <f t="shared" ref="F6:F77" si="1">LEFT(
  TRIM(E6),
  SEARCH("♦",
    SUBSTITUTE(TRIM(E6)," ","♦",
      IF(LEN(TRIM(E6))-LEN(SUBSTITUTE(TRIM(E6)," ",""))=1,1,2)
    )
  )-1
)</f>
        <v>-0.1762262999999704</v>
      </c>
      <c r="G6" s="2" t="str">
        <f t="shared" ref="G6:G9" si="2">RIGHT(
  TRIM(E6),
  LEN(TRIM(E6))-
  SEARCH("♦",
    SUBSTITUTE(TRIM(E6)," ","♦",
      IF(LEN(TRIM(E6))-LEN(SUBSTITUTE(TRIM(E6)," ",""))=1,1,2)
    )
  )
)</f>
        <v>-78.48585350000002</v>
      </c>
      <c r="H6" s="2">
        <v>528053</v>
      </c>
      <c r="I6" s="2">
        <f t="shared" si="0"/>
        <v>422442.4</v>
      </c>
    </row>
    <row r="7" spans="2:9" hidden="1" x14ac:dyDescent="0.3">
      <c r="B7" s="2" t="s">
        <v>9</v>
      </c>
      <c r="C7" s="2" t="s">
        <v>15</v>
      </c>
      <c r="D7" s="2" t="s">
        <v>18</v>
      </c>
      <c r="E7" s="2" t="s">
        <v>19</v>
      </c>
      <c r="F7" s="2" t="str">
        <f t="shared" si="1"/>
        <v>-0.15431534096117855</v>
      </c>
      <c r="G7" s="2" t="str">
        <f t="shared" si="2"/>
        <v>-78.47742365285848</v>
      </c>
      <c r="H7" s="2">
        <v>252428</v>
      </c>
      <c r="I7" s="2">
        <f t="shared" si="0"/>
        <v>201942.39999999999</v>
      </c>
    </row>
    <row r="8" spans="2:9" hidden="1" x14ac:dyDescent="0.3">
      <c r="B8" s="2" t="s">
        <v>9</v>
      </c>
      <c r="C8" s="2" t="s">
        <v>15</v>
      </c>
      <c r="D8" s="2" t="s">
        <v>20</v>
      </c>
      <c r="E8" s="2" t="s">
        <v>21</v>
      </c>
      <c r="F8" s="2" t="str">
        <f t="shared" si="1"/>
        <v>-0.2548339614220493</v>
      </c>
      <c r="G8" s="2" t="str">
        <f t="shared" si="2"/>
        <v>-78.52250100613422</v>
      </c>
      <c r="H8" s="2">
        <v>327447</v>
      </c>
      <c r="I8" s="2">
        <f t="shared" si="0"/>
        <v>261957.6</v>
      </c>
    </row>
    <row r="9" spans="2:9" hidden="1" x14ac:dyDescent="0.3">
      <c r="B9" s="2" t="s">
        <v>9</v>
      </c>
      <c r="C9" s="2" t="s">
        <v>15</v>
      </c>
      <c r="D9" s="2" t="s">
        <v>22</v>
      </c>
      <c r="E9" s="2" t="s">
        <v>23</v>
      </c>
      <c r="F9" s="2" t="str">
        <f t="shared" si="1"/>
        <v>-0.3035665000000125</v>
      </c>
      <c r="G9" s="2" t="str">
        <f t="shared" si="2"/>
        <v>-78.45426370000001</v>
      </c>
      <c r="H9" s="2">
        <v>292658</v>
      </c>
      <c r="I9" s="2">
        <f t="shared" si="0"/>
        <v>234126.4</v>
      </c>
    </row>
    <row r="10" spans="2:9" hidden="1" x14ac:dyDescent="0.3">
      <c r="B10" s="2" t="s">
        <v>9</v>
      </c>
      <c r="C10" s="2" t="s">
        <v>15</v>
      </c>
      <c r="D10" s="2" t="s">
        <v>24</v>
      </c>
      <c r="E10" s="2" t="s">
        <v>25</v>
      </c>
      <c r="F10" s="2" t="str">
        <f t="shared" si="1"/>
        <v>-0.20873434414394892</v>
      </c>
      <c r="G10" s="2" t="str">
        <f t="shared" ref="G10:G11" si="3">RIGHT(
  TRIM(E10),
  LEN(TRIM(E10))-
  SEARCH("♦",
    SUBSTITUTE(TRIM(E10)," ","♦",
      IF(LEN(TRIM(E10))-LEN(SUBSTITUTE(TRIM(E10)," ",""))=1,1,2)
    )
  )
)</f>
        <v>-78.4249163201297</v>
      </c>
      <c r="H10" s="2">
        <v>142785</v>
      </c>
      <c r="I10" s="2">
        <f t="shared" si="0"/>
        <v>114228</v>
      </c>
    </row>
    <row r="11" spans="2:9" hidden="1" x14ac:dyDescent="0.3">
      <c r="B11" s="2" t="s">
        <v>9</v>
      </c>
      <c r="C11" s="2" t="s">
        <v>15</v>
      </c>
      <c r="D11" s="2" t="s">
        <v>26</v>
      </c>
      <c r="E11" s="2" t="s">
        <v>27</v>
      </c>
      <c r="F11" s="2" t="str">
        <f t="shared" si="1"/>
        <v>-0.1912759999999955</v>
      </c>
      <c r="G11" s="2" t="str">
        <f t="shared" si="3"/>
        <v>-78.48622400000002</v>
      </c>
      <c r="H11" s="2">
        <v>225090</v>
      </c>
      <c r="I11" s="2">
        <f t="shared" si="0"/>
        <v>180072</v>
      </c>
    </row>
    <row r="12" spans="2:9" hidden="1" x14ac:dyDescent="0.3">
      <c r="B12" s="2" t="s">
        <v>9</v>
      </c>
      <c r="C12" s="2" t="s">
        <v>28</v>
      </c>
      <c r="D12" s="2" t="s">
        <v>29</v>
      </c>
      <c r="E12" s="2" t="s">
        <v>30</v>
      </c>
      <c r="F12" s="2" t="str">
        <f t="shared" si="1"/>
        <v>-0.24857759999998094</v>
      </c>
      <c r="G12" s="2" t="str">
        <f t="shared" ref="G12" si="4">RIGHT(
  TRIM(E12),
  LEN(TRIM(E12))-
  SEARCH("♦",
    SUBSTITUTE(TRIM(E12)," ","♦",
      IF(LEN(TRIM(E12))-LEN(SUBSTITUTE(TRIM(E12)," ",""))=1,1,2)
    )
  )
)</f>
        <v>-79.1579837</v>
      </c>
      <c r="H12" s="2">
        <v>134628</v>
      </c>
      <c r="I12" s="2">
        <f t="shared" si="0"/>
        <v>107702.39999999999</v>
      </c>
    </row>
    <row r="13" spans="2:9" ht="14.7" hidden="1" customHeight="1" x14ac:dyDescent="0.3">
      <c r="B13" s="2" t="s">
        <v>31</v>
      </c>
      <c r="C13" s="2" t="s">
        <v>15</v>
      </c>
      <c r="D13" s="2" t="s">
        <v>32</v>
      </c>
      <c r="E13" s="3" t="s">
        <v>33</v>
      </c>
      <c r="F13" s="2" t="str">
        <f t="shared" si="1"/>
        <v>-0.10869444444442086</v>
      </c>
      <c r="G13" s="2" t="str">
        <f t="shared" ref="G13:G77" si="5">RIGHT(
  TRIM(E13),
  LEN(TRIM(E13))-
  SEARCH("♦",
    SUBSTITUTE(TRIM(E13)," ","♦",
      IF(LEN(TRIM(E13))-LEN(SUBSTITUTE(TRIM(E13)," ",""))=1,1,2)
    )
  )
)</f>
        <v>-78.46155555555556</v>
      </c>
      <c r="H13" s="2">
        <f>I13/4</f>
        <v>577850</v>
      </c>
      <c r="I13" s="2">
        <f>140960+2170440</f>
        <v>2311400</v>
      </c>
    </row>
    <row r="14" spans="2:9" hidden="1" x14ac:dyDescent="0.3">
      <c r="B14" s="2" t="s">
        <v>31</v>
      </c>
      <c r="C14" s="2" t="s">
        <v>15</v>
      </c>
      <c r="D14" s="2" t="s">
        <v>34</v>
      </c>
      <c r="E14" s="2" t="s">
        <v>35</v>
      </c>
      <c r="F14" s="2" t="str">
        <f t="shared" si="1"/>
        <v>-0.10186111111111171</v>
      </c>
      <c r="G14" s="2" t="str">
        <f t="shared" si="5"/>
        <v>-78.49024999999999</v>
      </c>
      <c r="H14" s="2">
        <f t="shared" ref="H14:H50" si="6">I14/4</f>
        <v>1723435</v>
      </c>
      <c r="I14" s="2">
        <f>2757496+4136244</f>
        <v>6893740</v>
      </c>
    </row>
    <row r="15" spans="2:9" hidden="1" x14ac:dyDescent="0.3">
      <c r="B15" s="2" t="s">
        <v>31</v>
      </c>
      <c r="C15" s="2" t="s">
        <v>15</v>
      </c>
      <c r="D15" s="2" t="s">
        <v>36</v>
      </c>
      <c r="E15" s="2" t="s">
        <v>37</v>
      </c>
      <c r="F15" s="2" t="str">
        <f t="shared" si="1"/>
        <v>-0.12125000000001154</v>
      </c>
      <c r="G15" s="2" t="str">
        <f t="shared" si="5"/>
        <v>-78.4938888888888</v>
      </c>
      <c r="H15" s="2">
        <f t="shared" si="6"/>
        <v>728105</v>
      </c>
      <c r="I15" s="2">
        <f>1164968+1747452</f>
        <v>2912420</v>
      </c>
    </row>
    <row r="16" spans="2:9" hidden="1" x14ac:dyDescent="0.3">
      <c r="B16" s="2" t="s">
        <v>31</v>
      </c>
      <c r="C16" s="2" t="s">
        <v>15</v>
      </c>
      <c r="D16" s="2" t="s">
        <v>38</v>
      </c>
      <c r="E16" s="2" t="s">
        <v>39</v>
      </c>
      <c r="F16" s="2" t="str">
        <f t="shared" si="1"/>
        <v>-0.15397222222223542</v>
      </c>
      <c r="G16" s="2" t="str">
        <f t="shared" si="5"/>
        <v>-78.47672222222222</v>
      </c>
      <c r="H16" s="2">
        <f t="shared" si="6"/>
        <v>1673087.5</v>
      </c>
      <c r="I16" s="2">
        <f>2676940+4015410</f>
        <v>6692350</v>
      </c>
    </row>
    <row r="17" spans="2:9" hidden="1" x14ac:dyDescent="0.3">
      <c r="B17" s="2" t="s">
        <v>31</v>
      </c>
      <c r="C17" s="2" t="s">
        <v>15</v>
      </c>
      <c r="D17" s="2" t="s">
        <v>40</v>
      </c>
      <c r="E17" s="3" t="s">
        <v>41</v>
      </c>
      <c r="F17" s="2" t="str">
        <f t="shared" si="1"/>
        <v>-0.1636047707468734</v>
      </c>
      <c r="G17" s="2" t="str">
        <f t="shared" si="5"/>
        <v>-78.475110038728</v>
      </c>
      <c r="H17" s="2">
        <f t="shared" si="6"/>
        <v>889875</v>
      </c>
      <c r="I17" s="2">
        <f>1423800+2135700</f>
        <v>3559500</v>
      </c>
    </row>
    <row r="18" spans="2:9" hidden="1" x14ac:dyDescent="0.3">
      <c r="B18" s="2" t="s">
        <v>31</v>
      </c>
      <c r="C18" s="2" t="s">
        <v>15</v>
      </c>
      <c r="D18" s="2" t="s">
        <v>42</v>
      </c>
      <c r="E18" s="2" t="s">
        <v>43</v>
      </c>
      <c r="F18" s="2" t="str">
        <f t="shared" si="1"/>
        <v>-0.16641666666668134</v>
      </c>
      <c r="G18" s="2" t="str">
        <f t="shared" si="5"/>
        <v>-78.46830555555556</v>
      </c>
      <c r="H18" s="2">
        <f t="shared" si="6"/>
        <v>1124112.5</v>
      </c>
      <c r="I18" s="2">
        <f>1798580+ 2697870</f>
        <v>4496450</v>
      </c>
    </row>
    <row r="19" spans="2:9" hidden="1" x14ac:dyDescent="0.3">
      <c r="B19" s="2" t="s">
        <v>31</v>
      </c>
      <c r="C19" s="2" t="s">
        <v>15</v>
      </c>
      <c r="D19" s="2" t="s">
        <v>44</v>
      </c>
      <c r="E19" s="2" t="s">
        <v>45</v>
      </c>
      <c r="F19" s="2" t="str">
        <f t="shared" si="1"/>
        <v>-0.16861111111108085</v>
      </c>
      <c r="G19" s="2" t="str">
        <f t="shared" si="5"/>
        <v>-78.48733333333332</v>
      </c>
      <c r="H19" s="2">
        <f t="shared" si="6"/>
        <v>1194795</v>
      </c>
      <c r="I19" s="2">
        <f>1911672+ 2867508</f>
        <v>4779180</v>
      </c>
    </row>
    <row r="20" spans="2:9" hidden="1" x14ac:dyDescent="0.3">
      <c r="B20" s="2" t="s">
        <v>31</v>
      </c>
      <c r="C20" s="2" t="s">
        <v>15</v>
      </c>
      <c r="D20" s="2" t="s">
        <v>46</v>
      </c>
      <c r="E20" s="2" t="s">
        <v>47</v>
      </c>
      <c r="F20" s="2" t="str">
        <f t="shared" si="1"/>
        <v>-0.17758333333332527</v>
      </c>
      <c r="G20" s="2" t="str">
        <f t="shared" si="5"/>
        <v>-78.47761111111112</v>
      </c>
      <c r="H20" s="2">
        <f t="shared" si="6"/>
        <v>1060220</v>
      </c>
      <c r="I20" s="2">
        <f xml:space="preserve"> 1696352+2544528</f>
        <v>4240880</v>
      </c>
    </row>
    <row r="21" spans="2:9" hidden="1" x14ac:dyDescent="0.3">
      <c r="B21" s="2" t="s">
        <v>31</v>
      </c>
      <c r="C21" s="2" t="s">
        <v>15</v>
      </c>
      <c r="D21" s="2" t="s">
        <v>48</v>
      </c>
      <c r="E21" s="2" t="s">
        <v>49</v>
      </c>
      <c r="F21" s="2" t="str">
        <f t="shared" si="1"/>
        <v>-0.18202777777777931</v>
      </c>
      <c r="G21" s="2" t="str">
        <f t="shared" si="5"/>
        <v>-78.47575000000002</v>
      </c>
      <c r="H21" s="2">
        <f t="shared" si="6"/>
        <v>942060</v>
      </c>
      <c r="I21" s="2">
        <f xml:space="preserve"> 1507296+2260944</f>
        <v>3768240</v>
      </c>
    </row>
    <row r="22" spans="2:9" hidden="1" x14ac:dyDescent="0.3">
      <c r="B22" s="2" t="s">
        <v>31</v>
      </c>
      <c r="C22" s="2" t="s">
        <v>15</v>
      </c>
      <c r="D22" s="2" t="s">
        <v>50</v>
      </c>
      <c r="E22" s="2" t="s">
        <v>51</v>
      </c>
      <c r="F22" s="2" t="str">
        <f t="shared" si="1"/>
        <v>-0.18766666666666093</v>
      </c>
      <c r="G22" s="2" t="str">
        <f t="shared" si="5"/>
        <v>-78.48783333333333</v>
      </c>
      <c r="H22" s="2">
        <f t="shared" si="6"/>
        <v>1079522.5</v>
      </c>
      <c r="I22" s="2">
        <f xml:space="preserve"> 1727236+ 2590854</f>
        <v>4318090</v>
      </c>
    </row>
    <row r="23" spans="2:9" hidden="1" x14ac:dyDescent="0.3">
      <c r="B23" s="2" t="s">
        <v>31</v>
      </c>
      <c r="C23" s="2" t="s">
        <v>15</v>
      </c>
      <c r="D23" s="2" t="s">
        <v>52</v>
      </c>
      <c r="E23" s="2" t="s">
        <v>53</v>
      </c>
      <c r="F23" s="2" t="str">
        <f t="shared" si="1"/>
        <v>-0.18133333333331866</v>
      </c>
      <c r="G23" s="2" t="str">
        <f t="shared" si="5"/>
        <v>-78.48636111111112</v>
      </c>
      <c r="H23" s="2">
        <f t="shared" si="6"/>
        <v>1007632.5</v>
      </c>
      <c r="I23" s="2">
        <f>1612212+2418318</f>
        <v>4030530</v>
      </c>
    </row>
    <row r="24" spans="2:9" hidden="1" x14ac:dyDescent="0.3">
      <c r="B24" s="2" t="s">
        <v>31</v>
      </c>
      <c r="C24" s="2" t="s">
        <v>15</v>
      </c>
      <c r="D24" s="2" t="s">
        <v>54</v>
      </c>
      <c r="E24" s="2" t="s">
        <v>55</v>
      </c>
      <c r="F24" s="2" t="str">
        <f t="shared" si="1"/>
        <v>-0.17413888888888132</v>
      </c>
      <c r="G24" s="2" t="str">
        <f t="shared" si="5"/>
        <v>-78.49347222222224</v>
      </c>
      <c r="H24" s="2">
        <f t="shared" si="6"/>
        <v>817932.5</v>
      </c>
      <c r="I24" s="2">
        <f>1308692+ 1963038</f>
        <v>3271730</v>
      </c>
    </row>
    <row r="25" spans="2:9" hidden="1" x14ac:dyDescent="0.3">
      <c r="B25" s="2" t="s">
        <v>31</v>
      </c>
      <c r="C25" s="2" t="s">
        <v>15</v>
      </c>
      <c r="D25" s="2" t="s">
        <v>56</v>
      </c>
      <c r="E25" s="2" t="s">
        <v>57</v>
      </c>
      <c r="F25" s="2" t="str">
        <f t="shared" si="1"/>
        <v>-0.1908611111111087</v>
      </c>
      <c r="G25" s="2" t="str">
        <f t="shared" si="5"/>
        <v>-78.48202777777777</v>
      </c>
      <c r="H25" s="2">
        <f t="shared" si="6"/>
        <v>1022630</v>
      </c>
      <c r="I25" s="2">
        <f xml:space="preserve"> 1636208+2454312</f>
        <v>4090520</v>
      </c>
    </row>
    <row r="26" spans="2:9" hidden="1" x14ac:dyDescent="0.3">
      <c r="B26" s="2" t="s">
        <v>31</v>
      </c>
      <c r="C26" s="2" t="s">
        <v>15</v>
      </c>
      <c r="D26" s="2" t="s">
        <v>58</v>
      </c>
      <c r="E26" s="2" t="s">
        <v>59</v>
      </c>
      <c r="F26" s="2" t="str">
        <f t="shared" si="1"/>
        <v>-0.20333333333335038</v>
      </c>
      <c r="G26" s="2" t="str">
        <f t="shared" si="5"/>
        <v>-78.48311111111111</v>
      </c>
      <c r="H26" s="2">
        <f t="shared" si="6"/>
        <v>1205347.5</v>
      </c>
      <c r="I26" s="2">
        <f>1928556+ 2892834</f>
        <v>4821390</v>
      </c>
    </row>
    <row r="27" spans="2:9" hidden="1" x14ac:dyDescent="0.3">
      <c r="B27" s="2" t="s">
        <v>31</v>
      </c>
      <c r="C27" s="2" t="s">
        <v>15</v>
      </c>
      <c r="D27" s="2" t="s">
        <v>60</v>
      </c>
      <c r="E27" s="2" t="s">
        <v>61</v>
      </c>
      <c r="F27" s="2" t="str">
        <f t="shared" si="1"/>
        <v>-0.18374999999999495</v>
      </c>
      <c r="G27" s="2" t="str">
        <f t="shared" si="5"/>
        <v>-78.50241666666666</v>
      </c>
      <c r="H27" s="2">
        <f t="shared" si="6"/>
        <v>454317.5</v>
      </c>
      <c r="I27" s="2">
        <f>726908+ 1090362</f>
        <v>1817270</v>
      </c>
    </row>
    <row r="28" spans="2:9" hidden="1" x14ac:dyDescent="0.3">
      <c r="B28" s="2" t="s">
        <v>31</v>
      </c>
      <c r="C28" s="2" t="s">
        <v>15</v>
      </c>
      <c r="D28" s="2" t="s">
        <v>62</v>
      </c>
      <c r="E28" s="2" t="s">
        <v>63</v>
      </c>
      <c r="F28" s="2" t="str">
        <f t="shared" si="1"/>
        <v>-0.21286111111111497</v>
      </c>
      <c r="G28" s="2" t="str">
        <f t="shared" si="5"/>
        <v>-78.48944444444446</v>
      </c>
      <c r="H28" s="2">
        <f t="shared" si="6"/>
        <v>701837.5</v>
      </c>
      <c r="I28" s="2">
        <f xml:space="preserve"> 1122940+ 1684410</f>
        <v>2807350</v>
      </c>
    </row>
    <row r="29" spans="2:9" hidden="1" x14ac:dyDescent="0.3">
      <c r="B29" s="2" t="s">
        <v>31</v>
      </c>
      <c r="C29" s="2" t="s">
        <v>15</v>
      </c>
      <c r="D29" s="2" t="s">
        <v>64</v>
      </c>
      <c r="E29" s="2" t="s">
        <v>65</v>
      </c>
      <c r="F29" s="2" t="str">
        <f t="shared" si="1"/>
        <v>-0.2476666666666572</v>
      </c>
      <c r="G29" s="2" t="str">
        <f t="shared" si="5"/>
        <v>-78.52597222222221</v>
      </c>
      <c r="H29" s="2">
        <f t="shared" si="6"/>
        <v>659820</v>
      </c>
      <c r="I29" s="2">
        <f xml:space="preserve"> 1055712+ 1583568</f>
        <v>2639280</v>
      </c>
    </row>
    <row r="30" spans="2:9" hidden="1" x14ac:dyDescent="0.3">
      <c r="B30" s="2" t="s">
        <v>31</v>
      </c>
      <c r="C30" s="2" t="s">
        <v>15</v>
      </c>
      <c r="D30" s="2" t="s">
        <v>66</v>
      </c>
      <c r="E30" s="2" t="s">
        <v>67</v>
      </c>
      <c r="F30" s="2" t="str">
        <f t="shared" si="1"/>
        <v>-0.24961111111109868</v>
      </c>
      <c r="G30" s="2" t="str">
        <f t="shared" si="5"/>
        <v>-78.52113888888888</v>
      </c>
      <c r="H30" s="2">
        <f t="shared" si="6"/>
        <v>917647.5</v>
      </c>
      <c r="I30" s="2">
        <f xml:space="preserve"> 1468236+2202354</f>
        <v>3670590</v>
      </c>
    </row>
    <row r="31" spans="2:9" hidden="1" x14ac:dyDescent="0.3">
      <c r="B31" s="2" t="s">
        <v>31</v>
      </c>
      <c r="C31" s="2" t="s">
        <v>15</v>
      </c>
      <c r="D31" s="2" t="s">
        <v>68</v>
      </c>
      <c r="E31" s="2" t="s">
        <v>69</v>
      </c>
      <c r="F31" s="2" t="str">
        <f t="shared" si="1"/>
        <v>-0.27724999999998656</v>
      </c>
      <c r="G31" s="2" t="str">
        <f t="shared" si="5"/>
        <v>-78.54269444444442</v>
      </c>
      <c r="H31" s="2">
        <f t="shared" si="6"/>
        <v>352065</v>
      </c>
      <c r="I31" s="2">
        <f>563304+ 844956</f>
        <v>1408260</v>
      </c>
    </row>
    <row r="32" spans="2:9" hidden="1" x14ac:dyDescent="0.3">
      <c r="B32" s="2" t="s">
        <v>31</v>
      </c>
      <c r="C32" s="2" t="s">
        <v>15</v>
      </c>
      <c r="D32" s="2" t="s">
        <v>70</v>
      </c>
      <c r="E32" s="2" t="s">
        <v>71</v>
      </c>
      <c r="F32" s="2" t="str">
        <f t="shared" si="1"/>
        <v>-0.19808333333332906</v>
      </c>
      <c r="G32" s="2" t="str">
        <f t="shared" si="5"/>
        <v>-78.43683333333334</v>
      </c>
      <c r="H32" s="2">
        <f t="shared" si="6"/>
        <v>1951022.5</v>
      </c>
      <c r="I32" s="2">
        <f>3121636+4682454</f>
        <v>7804090</v>
      </c>
    </row>
    <row r="33" spans="2:9" hidden="1" x14ac:dyDescent="0.3">
      <c r="B33" s="2" t="s">
        <v>31</v>
      </c>
      <c r="C33" s="2" t="s">
        <v>15</v>
      </c>
      <c r="D33" s="2" t="s">
        <v>72</v>
      </c>
      <c r="E33" s="2" t="s">
        <v>73</v>
      </c>
      <c r="F33" s="2" t="str">
        <f t="shared" si="1"/>
        <v>-0.20602777777778036</v>
      </c>
      <c r="G33" s="2" t="str">
        <f t="shared" si="5"/>
        <v>-78.43327777777777</v>
      </c>
      <c r="H33" s="2">
        <f t="shared" si="6"/>
        <v>677232.5</v>
      </c>
      <c r="I33" s="2">
        <f xml:space="preserve"> 1083572+ 1625358</f>
        <v>2708930</v>
      </c>
    </row>
    <row r="34" spans="2:9" hidden="1" x14ac:dyDescent="0.3">
      <c r="B34" s="2" t="s">
        <v>31</v>
      </c>
      <c r="C34" s="2" t="s">
        <v>15</v>
      </c>
      <c r="D34" s="2" t="s">
        <v>74</v>
      </c>
      <c r="E34" s="2" t="s">
        <v>75</v>
      </c>
      <c r="F34" s="2" t="str">
        <f t="shared" si="1"/>
        <v>-0.2105833333333283</v>
      </c>
      <c r="G34" s="2" t="str">
        <f t="shared" si="5"/>
        <v>-78.42127777777777</v>
      </c>
      <c r="H34" s="2">
        <f t="shared" si="6"/>
        <v>538037.5</v>
      </c>
      <c r="I34" s="2">
        <f xml:space="preserve"> 860860+ 1291290</f>
        <v>2152150</v>
      </c>
    </row>
    <row r="35" spans="2:9" x14ac:dyDescent="0.3">
      <c r="B35" s="2" t="s">
        <v>31</v>
      </c>
      <c r="C35" s="2" t="s">
        <v>10</v>
      </c>
      <c r="D35" s="2" t="s">
        <v>76</v>
      </c>
      <c r="E35" s="2" t="s">
        <v>77</v>
      </c>
      <c r="F35" s="2" t="str">
        <f t="shared" si="1"/>
        <v>-2.1585555555555693</v>
      </c>
      <c r="G35" s="2" t="str">
        <f t="shared" si="5"/>
        <v>-79.89855555555556</v>
      </c>
      <c r="H35" s="2">
        <f t="shared" si="6"/>
        <v>711410</v>
      </c>
      <c r="I35" s="2">
        <f xml:space="preserve"> 1138256+ 1707384</f>
        <v>2845640</v>
      </c>
    </row>
    <row r="36" spans="2:9" x14ac:dyDescent="0.3">
      <c r="B36" s="2" t="s">
        <v>31</v>
      </c>
      <c r="C36" s="2" t="s">
        <v>10</v>
      </c>
      <c r="D36" s="2" t="s">
        <v>78</v>
      </c>
      <c r="E36" s="2" t="s">
        <v>79</v>
      </c>
      <c r="F36" s="2" t="str">
        <f t="shared" si="1"/>
        <v>-2.201805555555555</v>
      </c>
      <c r="G36" s="2" t="str">
        <f t="shared" si="5"/>
        <v>-79.89383333333333</v>
      </c>
      <c r="H36" s="2">
        <f t="shared" si="6"/>
        <v>606445</v>
      </c>
      <c r="I36" s="2">
        <f xml:space="preserve"> 970312+ 1455468</f>
        <v>2425780</v>
      </c>
    </row>
    <row r="37" spans="2:9" x14ac:dyDescent="0.3">
      <c r="B37" s="2" t="s">
        <v>31</v>
      </c>
      <c r="C37" s="2" t="s">
        <v>10</v>
      </c>
      <c r="D37" s="2" t="s">
        <v>80</v>
      </c>
      <c r="E37" s="2" t="s">
        <v>81</v>
      </c>
      <c r="F37" s="2" t="str">
        <f t="shared" si="1"/>
        <v>-2.170916666666666</v>
      </c>
      <c r="G37" s="2" t="str">
        <f t="shared" si="5"/>
        <v>-79.89894444444445</v>
      </c>
      <c r="H37" s="2">
        <f t="shared" si="6"/>
        <v>939050</v>
      </c>
      <c r="I37" s="2">
        <f xml:space="preserve"> 1502480+ 2253720</f>
        <v>3756200</v>
      </c>
    </row>
    <row r="38" spans="2:9" x14ac:dyDescent="0.3">
      <c r="B38" s="2" t="s">
        <v>31</v>
      </c>
      <c r="C38" s="2" t="s">
        <v>10</v>
      </c>
      <c r="D38" s="2" t="s">
        <v>82</v>
      </c>
      <c r="E38" s="2" t="s">
        <v>83</v>
      </c>
      <c r="F38" s="2" t="str">
        <f t="shared" si="1"/>
        <v>-2.161750000000017</v>
      </c>
      <c r="G38" s="2" t="str">
        <f t="shared" si="5"/>
        <v>-79.91144444444446</v>
      </c>
      <c r="H38" s="2">
        <f t="shared" si="6"/>
        <v>647640</v>
      </c>
      <c r="I38" s="2">
        <f xml:space="preserve"> 1036224+1554336</f>
        <v>2590560</v>
      </c>
    </row>
    <row r="39" spans="2:9" x14ac:dyDescent="0.3">
      <c r="B39" s="2" t="s">
        <v>31</v>
      </c>
      <c r="C39" s="2" t="s">
        <v>10</v>
      </c>
      <c r="D39" s="2" t="s">
        <v>84</v>
      </c>
      <c r="E39" s="2" t="s">
        <v>85</v>
      </c>
      <c r="F39" s="2" t="str">
        <f t="shared" si="1"/>
        <v>-2.17122222222219</v>
      </c>
      <c r="G39" s="2" t="str">
        <f t="shared" si="5"/>
        <v>-79.88966666666666</v>
      </c>
      <c r="H39" s="2">
        <f t="shared" si="6"/>
        <v>681548</v>
      </c>
      <c r="I39" s="2">
        <f xml:space="preserve"> 1363096+ 1363096</f>
        <v>2726192</v>
      </c>
    </row>
    <row r="40" spans="2:9" x14ac:dyDescent="0.3">
      <c r="B40" s="2" t="s">
        <v>31</v>
      </c>
      <c r="C40" s="2" t="s">
        <v>10</v>
      </c>
      <c r="D40" s="2" t="s">
        <v>86</v>
      </c>
      <c r="E40" s="2" t="s">
        <v>87</v>
      </c>
      <c r="F40" s="2" t="str">
        <f t="shared" si="1"/>
        <v>-2.1506666666666585</v>
      </c>
      <c r="G40" s="2" t="str">
        <f t="shared" si="5"/>
        <v>-79.89280555555557</v>
      </c>
      <c r="H40" s="2">
        <f t="shared" si="6"/>
        <v>594177.5</v>
      </c>
      <c r="I40" s="2">
        <f xml:space="preserve"> 950684+ 1426026</f>
        <v>2376710</v>
      </c>
    </row>
    <row r="41" spans="2:9" x14ac:dyDescent="0.3">
      <c r="B41" s="2" t="s">
        <v>31</v>
      </c>
      <c r="C41" s="2" t="s">
        <v>10</v>
      </c>
      <c r="D41" s="2" t="s">
        <v>88</v>
      </c>
      <c r="E41" s="2" t="s">
        <v>89</v>
      </c>
      <c r="F41" s="2" t="str">
        <f t="shared" si="1"/>
        <v>-2.141722222222235</v>
      </c>
      <c r="G41" s="2" t="str">
        <f t="shared" si="5"/>
        <v>-79.9233888888889</v>
      </c>
      <c r="H41" s="2">
        <f t="shared" si="6"/>
        <v>665367.5</v>
      </c>
      <c r="I41" s="2">
        <f xml:space="preserve"> 1064588+ 1596882</f>
        <v>2661470</v>
      </c>
    </row>
    <row r="42" spans="2:9" x14ac:dyDescent="0.3">
      <c r="B42" s="2" t="s">
        <v>31</v>
      </c>
      <c r="C42" s="2" t="s">
        <v>10</v>
      </c>
      <c r="D42" s="2" t="s">
        <v>90</v>
      </c>
      <c r="E42" s="2" t="s">
        <v>91</v>
      </c>
      <c r="F42" s="2" t="str">
        <f t="shared" si="1"/>
        <v>-2.1575555555555592</v>
      </c>
      <c r="G42" s="2" t="str">
        <f t="shared" si="5"/>
        <v>-79.88013888888888</v>
      </c>
      <c r="H42" s="2">
        <f t="shared" si="6"/>
        <v>588770</v>
      </c>
      <c r="I42" s="2">
        <f>942032+ 1413048</f>
        <v>2355080</v>
      </c>
    </row>
    <row r="43" spans="2:9" x14ac:dyDescent="0.3">
      <c r="B43" s="2" t="s">
        <v>31</v>
      </c>
      <c r="C43" s="2" t="s">
        <v>10</v>
      </c>
      <c r="D43" s="2" t="s">
        <v>92</v>
      </c>
      <c r="E43" s="2" t="s">
        <v>93</v>
      </c>
      <c r="F43" s="2" t="str">
        <f t="shared" si="1"/>
        <v>-2.1778055555555538</v>
      </c>
      <c r="G43" s="2" t="str">
        <f t="shared" si="5"/>
        <v>-79.94383333333332</v>
      </c>
      <c r="H43" s="2">
        <f t="shared" si="6"/>
        <v>1071472.5</v>
      </c>
      <c r="I43" s="2">
        <f xml:space="preserve"> 1714356+2571534</f>
        <v>4285890</v>
      </c>
    </row>
    <row r="44" spans="2:9" x14ac:dyDescent="0.3">
      <c r="B44" s="2" t="s">
        <v>31</v>
      </c>
      <c r="C44" s="2" t="s">
        <v>10</v>
      </c>
      <c r="D44" s="2" t="s">
        <v>94</v>
      </c>
      <c r="E44" s="3" t="s">
        <v>95</v>
      </c>
      <c r="F44" s="2" t="str">
        <f t="shared" si="1"/>
        <v>-2.056081</v>
      </c>
      <c r="G44" s="2" t="str">
        <f t="shared" si="5"/>
        <v>-79.875362</v>
      </c>
      <c r="H44" s="2">
        <f t="shared" si="6"/>
        <v>1220065</v>
      </c>
      <c r="I44" s="2">
        <f xml:space="preserve"> 1952104+ 2928156</f>
        <v>4880260</v>
      </c>
    </row>
    <row r="45" spans="2:9" hidden="1" x14ac:dyDescent="0.3">
      <c r="B45" s="2" t="s">
        <v>31</v>
      </c>
      <c r="C45" s="2" t="s">
        <v>96</v>
      </c>
      <c r="D45" s="2" t="s">
        <v>97</v>
      </c>
      <c r="E45" s="2" t="s">
        <v>98</v>
      </c>
      <c r="F45" s="2" t="str">
        <f t="shared" si="1"/>
        <v>-0.9415277777777779</v>
      </c>
      <c r="G45" s="2" t="str">
        <f t="shared" si="5"/>
        <v>-80.73063888888889</v>
      </c>
      <c r="H45" s="2">
        <f t="shared" si="6"/>
        <v>373310</v>
      </c>
      <c r="I45" s="2">
        <f>597296+ 895944</f>
        <v>1493240</v>
      </c>
    </row>
    <row r="46" spans="2:9" hidden="1" x14ac:dyDescent="0.3">
      <c r="B46" s="2" t="s">
        <v>31</v>
      </c>
      <c r="C46" s="2" t="s">
        <v>96</v>
      </c>
      <c r="D46" s="2" t="s">
        <v>99</v>
      </c>
      <c r="E46" s="2" t="s">
        <v>100</v>
      </c>
      <c r="F46" s="2" t="str">
        <f t="shared" si="1"/>
        <v>-0.9461111111110834</v>
      </c>
      <c r="G46" s="2" t="str">
        <f t="shared" si="5"/>
        <v>-80.75202777777778&amp;</v>
      </c>
      <c r="H46" s="2">
        <f t="shared" si="6"/>
        <v>307965</v>
      </c>
      <c r="I46" s="2">
        <f xml:space="preserve"> 492744+ 739116</f>
        <v>1231860</v>
      </c>
    </row>
    <row r="47" spans="2:9" hidden="1" x14ac:dyDescent="0.3">
      <c r="B47" s="2" t="s">
        <v>31</v>
      </c>
      <c r="C47" s="2" t="s">
        <v>101</v>
      </c>
      <c r="D47" s="2" t="s">
        <v>102</v>
      </c>
      <c r="E47" s="2" t="s">
        <v>103</v>
      </c>
      <c r="F47" s="2" t="str">
        <f t="shared" si="1"/>
        <v>-1.2376666666666847</v>
      </c>
      <c r="G47" s="2" t="str">
        <f t="shared" si="5"/>
        <v>-78.63350000000001</v>
      </c>
      <c r="H47" s="2">
        <f t="shared" si="6"/>
        <v>458920</v>
      </c>
      <c r="I47" s="2">
        <f xml:space="preserve"> 734272+ 1101408</f>
        <v>1835680</v>
      </c>
    </row>
    <row r="48" spans="2:9" hidden="1" x14ac:dyDescent="0.3">
      <c r="B48" s="2" t="s">
        <v>31</v>
      </c>
      <c r="C48" s="2" t="s">
        <v>28</v>
      </c>
      <c r="D48" s="2" t="s">
        <v>104</v>
      </c>
      <c r="E48" s="2" t="s">
        <v>105</v>
      </c>
      <c r="F48" s="2" t="str">
        <f t="shared" si="1"/>
        <v>-0.2526388888888866</v>
      </c>
      <c r="G48" s="2" t="str">
        <f t="shared" si="5"/>
        <v>-79.16547222222225</v>
      </c>
      <c r="H48" s="2">
        <f t="shared" si="6"/>
        <v>550812.5</v>
      </c>
      <c r="I48" s="2">
        <f>881300+ 1321950</f>
        <v>2203250</v>
      </c>
    </row>
    <row r="49" spans="2:9" hidden="1" x14ac:dyDescent="0.3">
      <c r="B49" s="2" t="s">
        <v>31</v>
      </c>
      <c r="C49" s="2" t="s">
        <v>106</v>
      </c>
      <c r="D49" s="2" t="s">
        <v>107</v>
      </c>
      <c r="E49" s="2" t="s">
        <v>108</v>
      </c>
      <c r="F49" s="2" t="str">
        <f t="shared" si="1"/>
        <v>0.34883333333333366</v>
      </c>
      <c r="G49" s="2" t="str">
        <f t="shared" si="5"/>
        <v>-78.12463888888888</v>
      </c>
      <c r="H49" s="2">
        <f t="shared" si="6"/>
        <v>317100</v>
      </c>
      <c r="I49" s="2">
        <f xml:space="preserve"> 507360+ 761040</f>
        <v>1268400</v>
      </c>
    </row>
    <row r="50" spans="2:9" hidden="1" x14ac:dyDescent="0.3">
      <c r="B50" s="2" t="s">
        <v>31</v>
      </c>
      <c r="C50" s="2" t="s">
        <v>109</v>
      </c>
      <c r="D50" s="2" t="s">
        <v>110</v>
      </c>
      <c r="E50" s="2" t="s">
        <v>111</v>
      </c>
      <c r="F50" s="2" t="str">
        <f t="shared" si="1"/>
        <v>-2.8897600000000163</v>
      </c>
      <c r="G50" s="2" t="str">
        <f t="shared" si="5"/>
        <v>-78.98721199999999</v>
      </c>
      <c r="H50" s="2">
        <f t="shared" si="6"/>
        <v>655917.5</v>
      </c>
      <c r="I50" s="2">
        <f>1049468+1574202</f>
        <v>2623670</v>
      </c>
    </row>
    <row r="51" spans="2:9" hidden="1" x14ac:dyDescent="0.3">
      <c r="B51" s="2" t="s">
        <v>112</v>
      </c>
      <c r="C51" s="2" t="s">
        <v>15</v>
      </c>
      <c r="D51" s="2" t="s">
        <v>113</v>
      </c>
      <c r="E51" s="2" t="s">
        <v>114</v>
      </c>
      <c r="F51" s="2" t="str">
        <f t="shared" si="1"/>
        <v>-0.18849999999999845</v>
      </c>
      <c r="G51" s="2" t="str">
        <f t="shared" si="5"/>
        <v>-78.44772222222224</v>
      </c>
      <c r="H51" s="2">
        <f>I51/4</f>
        <v>479452.5</v>
      </c>
      <c r="I51" s="2">
        <f>167124+1750686</f>
        <v>1917810</v>
      </c>
    </row>
    <row r="52" spans="2:9" hidden="1" x14ac:dyDescent="0.3">
      <c r="B52" s="2" t="s">
        <v>112</v>
      </c>
      <c r="C52" s="2" t="s">
        <v>15</v>
      </c>
      <c r="D52" s="2" t="s">
        <v>115</v>
      </c>
      <c r="E52" s="2" t="s">
        <v>116</v>
      </c>
      <c r="F52" s="2" t="str">
        <f t="shared" si="1"/>
        <v>-0.17074999999999066</v>
      </c>
      <c r="G52" s="2" t="str">
        <f t="shared" si="5"/>
        <v>-78.49002777777777</v>
      </c>
      <c r="H52" s="2">
        <f t="shared" ref="H52:H59" si="7">I52/4</f>
        <v>601440</v>
      </c>
      <c r="I52" s="2">
        <f>962304+1443456</f>
        <v>2405760</v>
      </c>
    </row>
    <row r="53" spans="2:9" hidden="1" x14ac:dyDescent="0.3">
      <c r="B53" s="2" t="s">
        <v>112</v>
      </c>
      <c r="C53" s="2" t="s">
        <v>15</v>
      </c>
      <c r="D53" s="2" t="s">
        <v>117</v>
      </c>
      <c r="E53" s="2" t="s">
        <v>118</v>
      </c>
      <c r="F53" s="2" t="str">
        <f t="shared" si="1"/>
        <v>-0.16847222222220398</v>
      </c>
      <c r="G53" s="2" t="str">
        <f t="shared" si="5"/>
        <v>-78.48625000000001</v>
      </c>
      <c r="H53" s="2">
        <f t="shared" si="7"/>
        <v>919362.5</v>
      </c>
      <c r="I53" s="2">
        <f>1470980+2206470</f>
        <v>3677450</v>
      </c>
    </row>
    <row r="54" spans="2:9" hidden="1" x14ac:dyDescent="0.3">
      <c r="B54" s="2" t="s">
        <v>112</v>
      </c>
      <c r="C54" s="2" t="s">
        <v>15</v>
      </c>
      <c r="D54" s="2" t="s">
        <v>119</v>
      </c>
      <c r="E54" s="2" t="s">
        <v>120</v>
      </c>
      <c r="F54" s="2" t="str">
        <f t="shared" si="1"/>
        <v>-0.09327777777776576</v>
      </c>
      <c r="G54" s="2" t="str">
        <f t="shared" si="5"/>
        <v>-78.47905555555558</v>
      </c>
      <c r="H54" s="2">
        <f t="shared" si="7"/>
        <v>1279950</v>
      </c>
      <c r="I54" s="2">
        <f>2047920+3071880</f>
        <v>5119800</v>
      </c>
    </row>
    <row r="55" spans="2:9" hidden="1" x14ac:dyDescent="0.3">
      <c r="B55" s="2" t="s">
        <v>112</v>
      </c>
      <c r="C55" s="2" t="s">
        <v>15</v>
      </c>
      <c r="D55" s="2" t="s">
        <v>121</v>
      </c>
      <c r="E55" s="2" t="s">
        <v>122</v>
      </c>
      <c r="F55" s="2" t="str">
        <f t="shared" si="1"/>
        <v>-0.1861666666666839</v>
      </c>
      <c r="G55" s="2" t="str">
        <f t="shared" si="5"/>
        <v>-78.47811111111112</v>
      </c>
      <c r="H55" s="2">
        <f t="shared" si="7"/>
        <v>1064402.5</v>
      </c>
      <c r="I55" s="2">
        <f>1703044+2554566</f>
        <v>4257610</v>
      </c>
    </row>
    <row r="56" spans="2:9" hidden="1" x14ac:dyDescent="0.3">
      <c r="B56" s="2" t="s">
        <v>112</v>
      </c>
      <c r="C56" s="2" t="s">
        <v>10</v>
      </c>
      <c r="D56" s="2" t="s">
        <v>123</v>
      </c>
      <c r="E56" s="2" t="s">
        <v>124</v>
      </c>
      <c r="F56" s="2" t="str">
        <f t="shared" si="1"/>
        <v>-2.164250000000017</v>
      </c>
      <c r="G56" s="2" t="str">
        <f t="shared" si="5"/>
        <v>-79.8921388888889</v>
      </c>
      <c r="H56" s="2">
        <f t="shared" si="7"/>
        <v>484880</v>
      </c>
      <c r="I56" s="2">
        <f>127808+1811712</f>
        <v>1939520</v>
      </c>
    </row>
    <row r="57" spans="2:9" hidden="1" x14ac:dyDescent="0.3">
      <c r="B57" s="2" t="s">
        <v>112</v>
      </c>
      <c r="C57" s="2" t="s">
        <v>10</v>
      </c>
      <c r="D57" s="2" t="s">
        <v>125</v>
      </c>
      <c r="E57" s="2" t="s">
        <v>126</v>
      </c>
      <c r="F57" s="2" t="str">
        <f t="shared" si="1"/>
        <v>-2.1286944444444607</v>
      </c>
      <c r="G57" s="2" t="str">
        <f t="shared" si="5"/>
        <v>-79.8847777777778</v>
      </c>
      <c r="H57" s="2">
        <f t="shared" si="7"/>
        <v>728875</v>
      </c>
      <c r="I57" s="2">
        <f>1166200+1749300</f>
        <v>2915500</v>
      </c>
    </row>
    <row r="58" spans="2:9" hidden="1" x14ac:dyDescent="0.3">
      <c r="B58" s="2" t="s">
        <v>112</v>
      </c>
      <c r="C58" s="2" t="s">
        <v>10</v>
      </c>
      <c r="D58" s="2" t="s">
        <v>127</v>
      </c>
      <c r="E58" s="2" t="s">
        <v>128</v>
      </c>
      <c r="F58" s="2" t="str">
        <f t="shared" si="1"/>
        <v>-2.1755833333333205</v>
      </c>
      <c r="G58" s="2" t="str">
        <f t="shared" si="5"/>
        <v>-79.87875</v>
      </c>
      <c r="H58" s="2">
        <f t="shared" si="7"/>
        <v>452357.5</v>
      </c>
      <c r="I58" s="2">
        <f>723772+1085658</f>
        <v>1809430</v>
      </c>
    </row>
    <row r="59" spans="2:9" hidden="1" x14ac:dyDescent="0.3">
      <c r="B59" s="2" t="s">
        <v>112</v>
      </c>
      <c r="C59" s="2" t="s">
        <v>10</v>
      </c>
      <c r="D59" s="2" t="s">
        <v>129</v>
      </c>
      <c r="E59" s="2" t="s">
        <v>130</v>
      </c>
      <c r="F59" s="2" t="str">
        <f t="shared" si="1"/>
        <v>-2.1708611111111127</v>
      </c>
      <c r="G59" s="2" t="str">
        <f t="shared" si="5"/>
        <v>-79.88422222222223</v>
      </c>
      <c r="H59" s="2">
        <f t="shared" si="7"/>
        <v>378945</v>
      </c>
      <c r="I59" s="2">
        <f>606312+909468</f>
        <v>1515780</v>
      </c>
    </row>
    <row r="60" spans="2:9" hidden="1" x14ac:dyDescent="0.3">
      <c r="B60" s="2" t="s">
        <v>131</v>
      </c>
      <c r="C60" s="2" t="s">
        <v>10</v>
      </c>
      <c r="D60" s="2" t="s">
        <v>132</v>
      </c>
      <c r="E60" s="2" t="s">
        <v>133</v>
      </c>
      <c r="F60" s="2" t="str">
        <f t="shared" si="1"/>
        <v>-2.168305600000007</v>
      </c>
      <c r="G60" s="2" t="str">
        <f t="shared" si="5"/>
        <v>-79.87980559999998</v>
      </c>
      <c r="H60" s="2">
        <v>120000</v>
      </c>
      <c r="I60" s="2">
        <f>H60*30</f>
        <v>3600000</v>
      </c>
    </row>
    <row r="61" spans="2:9" hidden="1" x14ac:dyDescent="0.3">
      <c r="B61" s="2" t="s">
        <v>131</v>
      </c>
      <c r="C61" s="2" t="s">
        <v>10</v>
      </c>
      <c r="D61" s="2" t="s">
        <v>134</v>
      </c>
      <c r="E61" s="2" t="s">
        <v>135</v>
      </c>
      <c r="F61" s="2" t="str">
        <f t="shared" si="1"/>
        <v>-2.173305555555534</v>
      </c>
      <c r="G61" s="2" t="str">
        <f t="shared" si="5"/>
        <v>-79.94030555555555</v>
      </c>
      <c r="H61" s="2">
        <v>130000</v>
      </c>
      <c r="I61" s="2">
        <f t="shared" ref="I61:I77" si="8">H61*30</f>
        <v>3900000</v>
      </c>
    </row>
    <row r="62" spans="2:9" hidden="1" x14ac:dyDescent="0.3">
      <c r="B62" s="2" t="s">
        <v>131</v>
      </c>
      <c r="C62" s="2" t="s">
        <v>10</v>
      </c>
      <c r="D62" s="2" t="s">
        <v>136</v>
      </c>
      <c r="E62" s="2" t="s">
        <v>137</v>
      </c>
      <c r="F62" s="2" t="str">
        <f t="shared" si="1"/>
        <v>-2.1893600000000175</v>
      </c>
      <c r="G62" s="2" t="str">
        <f t="shared" si="5"/>
        <v>-79.88908</v>
      </c>
      <c r="H62" s="2">
        <v>150000</v>
      </c>
      <c r="I62" s="2">
        <f t="shared" si="8"/>
        <v>4500000</v>
      </c>
    </row>
    <row r="63" spans="2:9" hidden="1" x14ac:dyDescent="0.3">
      <c r="B63" s="2" t="s">
        <v>131</v>
      </c>
      <c r="C63" s="2" t="s">
        <v>10</v>
      </c>
      <c r="D63" s="2" t="s">
        <v>138</v>
      </c>
      <c r="E63" s="2" t="s">
        <v>139</v>
      </c>
      <c r="F63" s="2" t="str">
        <f t="shared" si="1"/>
        <v>-2.139805555555564</v>
      </c>
      <c r="G63" s="2" t="str">
        <f t="shared" si="5"/>
        <v>-79.9090277777778</v>
      </c>
      <c r="H63" s="2">
        <v>110000</v>
      </c>
      <c r="I63" s="2">
        <f t="shared" si="8"/>
        <v>3300000</v>
      </c>
    </row>
    <row r="64" spans="2:9" hidden="1" x14ac:dyDescent="0.3">
      <c r="B64" s="2" t="s">
        <v>131</v>
      </c>
      <c r="C64" s="2" t="s">
        <v>10</v>
      </c>
      <c r="D64" s="2" t="s">
        <v>140</v>
      </c>
      <c r="E64" s="2" t="s">
        <v>141</v>
      </c>
      <c r="F64" s="2" t="str">
        <f t="shared" si="1"/>
        <v>-2.228027777777777</v>
      </c>
      <c r="G64" s="2" t="str">
        <f t="shared" si="5"/>
        <v>-79.89791666666667</v>
      </c>
      <c r="H64" s="2">
        <v>170000</v>
      </c>
      <c r="I64" s="2">
        <f t="shared" si="8"/>
        <v>5100000</v>
      </c>
    </row>
    <row r="65" spans="2:9" hidden="1" x14ac:dyDescent="0.3">
      <c r="B65" s="2" t="s">
        <v>131</v>
      </c>
      <c r="C65" s="2" t="s">
        <v>10</v>
      </c>
      <c r="D65" s="2" t="s">
        <v>142</v>
      </c>
      <c r="E65" s="2" t="s">
        <v>143</v>
      </c>
      <c r="F65" s="2" t="str">
        <f t="shared" si="1"/>
        <v>-2.159388888888881</v>
      </c>
      <c r="G65" s="2" t="str">
        <f t="shared" si="5"/>
        <v>-79.88880555555556</v>
      </c>
      <c r="H65" s="2">
        <v>120000</v>
      </c>
      <c r="I65" s="2">
        <f t="shared" si="8"/>
        <v>3600000</v>
      </c>
    </row>
    <row r="66" spans="2:9" hidden="1" x14ac:dyDescent="0.3">
      <c r="B66" s="2" t="s">
        <v>131</v>
      </c>
      <c r="C66" s="2" t="s">
        <v>10</v>
      </c>
      <c r="D66" s="2" t="s">
        <v>144</v>
      </c>
      <c r="E66" s="2" t="s">
        <v>145</v>
      </c>
      <c r="F66" s="2" t="str">
        <f t="shared" si="1"/>
        <v>-2.1773611111111024</v>
      </c>
      <c r="G66" s="2" t="str">
        <f t="shared" si="5"/>
        <v>-79.90336111111111</v>
      </c>
      <c r="H66" s="2">
        <v>90000</v>
      </c>
      <c r="I66" s="2">
        <f t="shared" si="8"/>
        <v>2700000</v>
      </c>
    </row>
    <row r="67" spans="2:9" hidden="1" x14ac:dyDescent="0.3">
      <c r="B67" s="2" t="s">
        <v>131</v>
      </c>
      <c r="C67" s="2" t="s">
        <v>10</v>
      </c>
      <c r="D67" s="2" t="s">
        <v>146</v>
      </c>
      <c r="E67" s="2" t="s">
        <v>147</v>
      </c>
      <c r="F67" s="2" t="str">
        <f t="shared" si="1"/>
        <v>-2.171305555555539</v>
      </c>
      <c r="G67" s="2" t="str">
        <f t="shared" si="5"/>
        <v>-79.89241666666668</v>
      </c>
      <c r="H67" s="2">
        <v>120000</v>
      </c>
      <c r="I67" s="2">
        <f t="shared" si="8"/>
        <v>3600000</v>
      </c>
    </row>
    <row r="68" spans="2:9" hidden="1" x14ac:dyDescent="0.3">
      <c r="B68" s="2" t="s">
        <v>131</v>
      </c>
      <c r="C68" s="2" t="s">
        <v>10</v>
      </c>
      <c r="D68" s="2" t="s">
        <v>148</v>
      </c>
      <c r="E68" s="2" t="s">
        <v>149</v>
      </c>
      <c r="F68" s="2" t="str">
        <f t="shared" si="1"/>
        <v>-2.1397222222222023</v>
      </c>
      <c r="G68" s="2" t="str">
        <f t="shared" si="5"/>
        <v>-79.89830555555558</v>
      </c>
      <c r="H68" s="2">
        <v>120000</v>
      </c>
      <c r="I68" s="2">
        <f t="shared" si="8"/>
        <v>3600000</v>
      </c>
    </row>
    <row r="69" spans="2:9" hidden="1" x14ac:dyDescent="0.3">
      <c r="B69" s="2" t="s">
        <v>131</v>
      </c>
      <c r="C69" s="2" t="s">
        <v>10</v>
      </c>
      <c r="D69" s="2" t="s">
        <v>150</v>
      </c>
      <c r="E69" s="2" t="s">
        <v>151</v>
      </c>
      <c r="F69" s="2" t="str">
        <f t="shared" si="1"/>
        <v>-2.061250000000031</v>
      </c>
      <c r="G69" s="2" t="str">
        <f t="shared" si="5"/>
        <v>-79.8722222</v>
      </c>
      <c r="H69" s="2">
        <v>120000</v>
      </c>
      <c r="I69" s="2">
        <f t="shared" si="8"/>
        <v>3600000</v>
      </c>
    </row>
    <row r="70" spans="2:9" hidden="1" x14ac:dyDescent="0.3">
      <c r="B70" s="2" t="s">
        <v>131</v>
      </c>
      <c r="C70" s="2" t="s">
        <v>10</v>
      </c>
      <c r="D70" s="2" t="s">
        <v>152</v>
      </c>
      <c r="E70" s="2" t="s">
        <v>153</v>
      </c>
      <c r="F70" s="2" t="str">
        <f t="shared" si="1"/>
        <v>-2.0456388888888566</v>
      </c>
      <c r="G70" s="2" t="str">
        <f t="shared" si="5"/>
        <v>-79.87025</v>
      </c>
      <c r="H70" s="2">
        <v>95000</v>
      </c>
      <c r="I70" s="2">
        <f t="shared" si="8"/>
        <v>2850000</v>
      </c>
    </row>
    <row r="71" spans="2:9" hidden="1" x14ac:dyDescent="0.3">
      <c r="B71" s="2" t="s">
        <v>131</v>
      </c>
      <c r="C71" s="2" t="s">
        <v>10</v>
      </c>
      <c r="D71" s="2" t="s">
        <v>154</v>
      </c>
      <c r="E71" s="2" t="s">
        <v>155</v>
      </c>
      <c r="F71" s="2" t="str">
        <f t="shared" si="1"/>
        <v>-2.050944444444444</v>
      </c>
      <c r="G71" s="2" t="str">
        <f t="shared" si="5"/>
        <v>-79.91383333333334</v>
      </c>
      <c r="H71" s="2">
        <v>120000</v>
      </c>
      <c r="I71" s="2">
        <f t="shared" si="8"/>
        <v>3600000</v>
      </c>
    </row>
    <row r="72" spans="2:9" hidden="1" x14ac:dyDescent="0.3">
      <c r="B72" s="2" t="s">
        <v>131</v>
      </c>
      <c r="C72" s="2" t="s">
        <v>15</v>
      </c>
      <c r="D72" s="2" t="s">
        <v>156</v>
      </c>
      <c r="E72" s="2" t="s">
        <v>157</v>
      </c>
      <c r="F72" s="2" t="str">
        <f t="shared" si="1"/>
        <v>-0.282194444444433</v>
      </c>
      <c r="G72" s="2" t="str">
        <f t="shared" si="5"/>
        <v>-78.54347222222222</v>
      </c>
      <c r="H72" s="2">
        <v>120000</v>
      </c>
      <c r="I72" s="2">
        <f t="shared" si="8"/>
        <v>3600000</v>
      </c>
    </row>
    <row r="73" spans="2:9" hidden="1" x14ac:dyDescent="0.3">
      <c r="B73" s="2" t="s">
        <v>131</v>
      </c>
      <c r="C73" s="2" t="s">
        <v>15</v>
      </c>
      <c r="D73" s="2" t="s">
        <v>158</v>
      </c>
      <c r="E73" s="2" t="s">
        <v>159</v>
      </c>
      <c r="F73" s="2" t="str">
        <f t="shared" si="1"/>
        <v>-0.1704722222222242</v>
      </c>
      <c r="G73" s="2" t="str">
        <f t="shared" si="5"/>
        <v>-78.47594444444445</v>
      </c>
      <c r="H73" s="2">
        <v>120000</v>
      </c>
      <c r="I73" s="2">
        <f t="shared" si="8"/>
        <v>3600000</v>
      </c>
    </row>
    <row r="74" spans="2:9" hidden="1" x14ac:dyDescent="0.3">
      <c r="B74" s="2" t="s">
        <v>131</v>
      </c>
      <c r="C74" s="2" t="s">
        <v>15</v>
      </c>
      <c r="D74" s="2" t="s">
        <v>160</v>
      </c>
      <c r="E74" s="2" t="s">
        <v>161</v>
      </c>
      <c r="F74" s="2" t="str">
        <f t="shared" si="1"/>
        <v>-0.20708333333331833</v>
      </c>
      <c r="G74" s="2" t="str">
        <f t="shared" si="5"/>
        <v>-78.42741666666667</v>
      </c>
      <c r="H74" s="2">
        <v>120000</v>
      </c>
      <c r="I74" s="2">
        <f t="shared" si="8"/>
        <v>3600000</v>
      </c>
    </row>
    <row r="75" spans="2:9" hidden="1" x14ac:dyDescent="0.3">
      <c r="B75" s="2" t="s">
        <v>131</v>
      </c>
      <c r="C75" s="2" t="s">
        <v>15</v>
      </c>
      <c r="D75" s="2" t="s">
        <v>162</v>
      </c>
      <c r="E75" s="2" t="s">
        <v>163</v>
      </c>
      <c r="F75" s="2" t="str">
        <f t="shared" si="1"/>
        <v>-0.19175800000001844</v>
      </c>
      <c r="G75" s="2" t="str">
        <f t="shared" si="5"/>
        <v>-78.487796</v>
      </c>
      <c r="H75" s="2">
        <v>120000</v>
      </c>
      <c r="I75" s="2">
        <f t="shared" si="8"/>
        <v>3600000</v>
      </c>
    </row>
    <row r="76" spans="2:9" hidden="1" x14ac:dyDescent="0.3">
      <c r="B76" s="2" t="s">
        <v>131</v>
      </c>
      <c r="C76" s="2" t="s">
        <v>96</v>
      </c>
      <c r="D76" s="2" t="s">
        <v>164</v>
      </c>
      <c r="E76" s="2" t="s">
        <v>165</v>
      </c>
      <c r="F76" s="2" t="str">
        <f t="shared" si="1"/>
        <v>-0.9449166666666559</v>
      </c>
      <c r="G76" s="2" t="str">
        <f t="shared" si="5"/>
        <v>-80.73372222222223</v>
      </c>
      <c r="H76" s="2">
        <v>80000</v>
      </c>
      <c r="I76" s="2">
        <f t="shared" si="8"/>
        <v>2400000</v>
      </c>
    </row>
    <row r="77" spans="2:9" hidden="1" x14ac:dyDescent="0.3">
      <c r="B77" s="2" t="s">
        <v>131</v>
      </c>
      <c r="C77" s="2" t="s">
        <v>101</v>
      </c>
      <c r="D77" s="2" t="s">
        <v>166</v>
      </c>
      <c r="E77" s="2" t="s">
        <v>167</v>
      </c>
      <c r="F77" s="2" t="str">
        <f t="shared" si="1"/>
        <v>-1.2640555555555664</v>
      </c>
      <c r="G77" s="2" t="str">
        <f t="shared" si="5"/>
        <v>-78.62786111111109</v>
      </c>
      <c r="H77" s="2">
        <v>80000</v>
      </c>
      <c r="I77" s="2">
        <f t="shared" si="8"/>
        <v>2400000</v>
      </c>
    </row>
  </sheetData>
  <autoFilter ref="B3:G77" xr:uid="{73C3EE0E-7AD6-4995-B72A-C52803B55917}">
    <filterColumn colId="0">
      <filters>
        <filter val="INDUVALLAS"/>
      </filters>
    </filterColumn>
    <filterColumn colId="1">
      <filters>
        <filter val="GUAYAQUIL"/>
      </filters>
    </filterColumn>
  </autoFilter>
  <mergeCells count="1">
    <mergeCell ref="B2:I2"/>
  </mergeCells>
  <conditionalFormatting sqref="B3:I77">
    <cfRule type="expression" dxfId="3" priority="1">
      <formula>B3&lt;&gt;#REF!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8F51-5F1D-467D-A0B6-391E3D8F0CAC}">
  <dimension ref="A1:K77"/>
  <sheetViews>
    <sheetView tabSelected="1" zoomScale="98" zoomScaleNormal="98" workbookViewId="0">
      <selection activeCell="E2" sqref="E2"/>
    </sheetView>
  </sheetViews>
  <sheetFormatPr baseColWidth="10" defaultColWidth="11.44140625" defaultRowHeight="15" customHeight="1" x14ac:dyDescent="0.3"/>
  <cols>
    <col min="1" max="2" width="15.33203125" style="10" customWidth="1"/>
    <col min="3" max="3" width="12.33203125" style="10" customWidth="1"/>
    <col min="4" max="4" width="31.109375" style="10" bestFit="1" customWidth="1"/>
    <col min="5" max="5" width="61.109375" bestFit="1" customWidth="1"/>
    <col min="6" max="7" width="21.44140625" style="10" customWidth="1"/>
    <col min="8" max="8" width="18.88671875" style="5" bestFit="1" customWidth="1"/>
    <col min="9" max="9" width="18.88671875" style="5" customWidth="1"/>
    <col min="10" max="10" width="22.33203125" customWidth="1"/>
  </cols>
  <sheetData>
    <row r="1" spans="1:11" ht="27.6" x14ac:dyDescent="0.3">
      <c r="A1" s="1" t="s">
        <v>1</v>
      </c>
      <c r="B1" s="1" t="s">
        <v>168</v>
      </c>
      <c r="C1" s="1" t="s">
        <v>2</v>
      </c>
      <c r="D1" s="1" t="s">
        <v>169</v>
      </c>
      <c r="E1" s="1" t="s">
        <v>3</v>
      </c>
      <c r="F1" s="1" t="s">
        <v>5</v>
      </c>
      <c r="G1" s="1" t="s">
        <v>6</v>
      </c>
      <c r="H1" s="1" t="s">
        <v>170</v>
      </c>
      <c r="I1" s="1" t="s">
        <v>171</v>
      </c>
      <c r="J1" s="1" t="s">
        <v>172</v>
      </c>
    </row>
    <row r="2" spans="1:11" ht="14.4" x14ac:dyDescent="0.3">
      <c r="A2" s="9" t="s">
        <v>31</v>
      </c>
      <c r="B2" s="9" t="s">
        <v>173</v>
      </c>
      <c r="C2" s="9" t="s">
        <v>109</v>
      </c>
      <c r="D2" s="9" t="s">
        <v>174</v>
      </c>
      <c r="E2" s="2" t="s">
        <v>110</v>
      </c>
      <c r="F2" s="9">
        <v>-2.8897600000000101</v>
      </c>
      <c r="G2" s="9">
        <v>-78.9872119999999</v>
      </c>
      <c r="H2" s="6">
        <v>46730</v>
      </c>
      <c r="I2" s="6">
        <v>18692</v>
      </c>
      <c r="J2" s="6">
        <v>1047396</v>
      </c>
    </row>
    <row r="3" spans="1:11" ht="14.4" x14ac:dyDescent="0.3">
      <c r="A3" s="9" t="s">
        <v>9</v>
      </c>
      <c r="B3" s="9" t="s">
        <v>175</v>
      </c>
      <c r="C3" s="9" t="s">
        <v>15</v>
      </c>
      <c r="D3" s="9" t="s">
        <v>176</v>
      </c>
      <c r="E3" s="2" t="s">
        <v>16</v>
      </c>
      <c r="F3" s="9">
        <v>-0.17622629999997</v>
      </c>
      <c r="G3" s="9">
        <v>-78.485853500000005</v>
      </c>
      <c r="H3" s="6">
        <v>422442</v>
      </c>
      <c r="I3" s="6">
        <v>168976.80000000002</v>
      </c>
      <c r="J3" s="7">
        <v>3291240</v>
      </c>
    </row>
    <row r="4" spans="1:11" ht="14.4" x14ac:dyDescent="0.3">
      <c r="A4" s="9" t="s">
        <v>131</v>
      </c>
      <c r="B4" s="9" t="s">
        <v>177</v>
      </c>
      <c r="C4" s="9" t="s">
        <v>101</v>
      </c>
      <c r="D4" s="9" t="s">
        <v>178</v>
      </c>
      <c r="E4" s="2" t="s">
        <v>179</v>
      </c>
      <c r="F4" s="9">
        <v>-1.2640555555555599</v>
      </c>
      <c r="G4" s="9">
        <v>-78.627861111111002</v>
      </c>
      <c r="H4" s="9">
        <v>182905</v>
      </c>
      <c r="I4" s="6">
        <v>73162</v>
      </c>
      <c r="J4" s="6">
        <v>1708380</v>
      </c>
    </row>
    <row r="5" spans="1:11" ht="14.4" x14ac:dyDescent="0.3">
      <c r="A5" s="9" t="s">
        <v>131</v>
      </c>
      <c r="B5" s="9" t="s">
        <v>175</v>
      </c>
      <c r="C5" s="9" t="s">
        <v>15</v>
      </c>
      <c r="D5" s="9" t="s">
        <v>180</v>
      </c>
      <c r="E5" s="2" t="s">
        <v>156</v>
      </c>
      <c r="F5" s="9">
        <v>-0.28219444444443298</v>
      </c>
      <c r="G5" s="9">
        <v>-78.543472222222206</v>
      </c>
      <c r="H5" s="9">
        <v>342045</v>
      </c>
      <c r="I5" s="6">
        <v>136818</v>
      </c>
      <c r="J5" s="6">
        <v>1940760</v>
      </c>
    </row>
    <row r="6" spans="1:11" ht="14.4" x14ac:dyDescent="0.3">
      <c r="A6" s="9" t="s">
        <v>9</v>
      </c>
      <c r="B6" s="9" t="s">
        <v>181</v>
      </c>
      <c r="C6" s="9" t="s">
        <v>10</v>
      </c>
      <c r="D6" s="9" t="s">
        <v>182</v>
      </c>
      <c r="E6" s="2" t="s">
        <v>13</v>
      </c>
      <c r="F6" s="9">
        <v>-2.1745304999999999</v>
      </c>
      <c r="G6" s="9">
        <v>-79.891615200000004</v>
      </c>
      <c r="H6" s="6">
        <v>340844</v>
      </c>
      <c r="I6" s="6">
        <v>136337.60000000001</v>
      </c>
      <c r="J6" s="8">
        <v>970500</v>
      </c>
    </row>
    <row r="7" spans="1:11" ht="14.4" x14ac:dyDescent="0.3">
      <c r="A7" s="9" t="s">
        <v>131</v>
      </c>
      <c r="B7" s="9" t="s">
        <v>181</v>
      </c>
      <c r="C7" s="9" t="s">
        <v>10</v>
      </c>
      <c r="D7" s="9" t="s">
        <v>183</v>
      </c>
      <c r="E7" s="2" t="s">
        <v>136</v>
      </c>
      <c r="F7" s="9">
        <v>-2.18936000000001</v>
      </c>
      <c r="G7" s="9">
        <v>-79.889080000000007</v>
      </c>
      <c r="H7" s="9">
        <v>334191</v>
      </c>
      <c r="I7" s="6">
        <v>133676.4</v>
      </c>
      <c r="J7" s="6">
        <v>1851060</v>
      </c>
    </row>
    <row r="8" spans="1:11" ht="14.4" x14ac:dyDescent="0.3">
      <c r="A8" s="9" t="s">
        <v>131</v>
      </c>
      <c r="B8" s="9" t="s">
        <v>181</v>
      </c>
      <c r="C8" s="9" t="s">
        <v>10</v>
      </c>
      <c r="D8" s="9" t="s">
        <v>182</v>
      </c>
      <c r="E8" s="2" t="s">
        <v>148</v>
      </c>
      <c r="F8" s="9">
        <v>-2.1397222222222001</v>
      </c>
      <c r="G8" s="9">
        <v>-79.898305555555496</v>
      </c>
      <c r="H8" s="9">
        <v>311354</v>
      </c>
      <c r="I8" s="6">
        <v>124541.6</v>
      </c>
      <c r="J8" s="6">
        <v>1708980</v>
      </c>
    </row>
    <row r="9" spans="1:11" ht="14.4" x14ac:dyDescent="0.3">
      <c r="A9" s="9" t="s">
        <v>112</v>
      </c>
      <c r="B9" s="9" t="s">
        <v>175</v>
      </c>
      <c r="C9" s="9" t="s">
        <v>15</v>
      </c>
      <c r="D9" s="9" t="s">
        <v>184</v>
      </c>
      <c r="E9" s="2" t="s">
        <v>119</v>
      </c>
      <c r="F9" s="9">
        <v>-9.3277777777765705E-2</v>
      </c>
      <c r="G9" s="9">
        <v>-78.479055555555504</v>
      </c>
      <c r="H9" s="6">
        <v>295584</v>
      </c>
      <c r="I9" s="6">
        <v>118233.60000000001</v>
      </c>
      <c r="J9" s="6">
        <v>2047920</v>
      </c>
    </row>
    <row r="10" spans="1:11" ht="14.4" x14ac:dyDescent="0.3">
      <c r="A10" s="9" t="s">
        <v>131</v>
      </c>
      <c r="B10" s="9" t="s">
        <v>181</v>
      </c>
      <c r="C10" s="9" t="s">
        <v>10</v>
      </c>
      <c r="D10" s="9" t="s">
        <v>182</v>
      </c>
      <c r="E10" s="2" t="s">
        <v>138</v>
      </c>
      <c r="F10" s="9">
        <v>-2.1398055555555602</v>
      </c>
      <c r="G10" s="9">
        <v>-79.909027777777794</v>
      </c>
      <c r="H10" s="9">
        <v>286575</v>
      </c>
      <c r="I10" s="6">
        <v>114630</v>
      </c>
      <c r="J10" s="6">
        <v>1557630</v>
      </c>
    </row>
    <row r="11" spans="1:11" ht="14.4" x14ac:dyDescent="0.3">
      <c r="A11" s="9" t="s">
        <v>9</v>
      </c>
      <c r="B11" s="9" t="s">
        <v>175</v>
      </c>
      <c r="C11" s="9" t="s">
        <v>15</v>
      </c>
      <c r="D11" s="9" t="s">
        <v>185</v>
      </c>
      <c r="E11" s="2" t="s">
        <v>20</v>
      </c>
      <c r="F11" s="9">
        <v>-0.254833961422049</v>
      </c>
      <c r="G11" s="9">
        <v>-78.522501006134206</v>
      </c>
      <c r="H11" s="6">
        <v>261957</v>
      </c>
      <c r="I11" s="6">
        <v>104782.8</v>
      </c>
      <c r="J11" s="8">
        <v>740310</v>
      </c>
    </row>
    <row r="12" spans="1:11" ht="14.4" x14ac:dyDescent="0.3">
      <c r="A12" s="9" t="s">
        <v>131</v>
      </c>
      <c r="B12" s="9" t="s">
        <v>181</v>
      </c>
      <c r="C12" s="9" t="s">
        <v>10</v>
      </c>
      <c r="D12" s="9" t="s">
        <v>182</v>
      </c>
      <c r="E12" s="2" t="s">
        <v>142</v>
      </c>
      <c r="F12" s="9">
        <v>-2.1593888888888801</v>
      </c>
      <c r="G12" s="9">
        <v>-79.888805555555507</v>
      </c>
      <c r="H12" s="9">
        <v>249394</v>
      </c>
      <c r="I12" s="6">
        <v>99757.6</v>
      </c>
      <c r="J12" s="6">
        <v>1335720</v>
      </c>
    </row>
    <row r="13" spans="1:11" ht="14.4" x14ac:dyDescent="0.3">
      <c r="A13" s="9" t="s">
        <v>131</v>
      </c>
      <c r="B13" s="9" t="s">
        <v>181</v>
      </c>
      <c r="C13" s="9" t="s">
        <v>10</v>
      </c>
      <c r="D13" s="9" t="s">
        <v>182</v>
      </c>
      <c r="E13" s="2" t="s">
        <v>134</v>
      </c>
      <c r="F13" s="9">
        <v>-2.1733055555555301</v>
      </c>
      <c r="G13" s="9">
        <v>-79.940305555555497</v>
      </c>
      <c r="H13" s="9">
        <v>248021</v>
      </c>
      <c r="I13" s="6">
        <v>99208.400000000009</v>
      </c>
      <c r="J13" s="6">
        <v>1328280</v>
      </c>
    </row>
    <row r="14" spans="1:11" ht="14.4" x14ac:dyDescent="0.3">
      <c r="A14" s="9" t="s">
        <v>112</v>
      </c>
      <c r="B14" s="9" t="s">
        <v>175</v>
      </c>
      <c r="C14" s="9" t="s">
        <v>15</v>
      </c>
      <c r="D14" s="9" t="s">
        <v>176</v>
      </c>
      <c r="E14" s="2" t="s">
        <v>121</v>
      </c>
      <c r="F14" s="9">
        <v>-0.186166666666683</v>
      </c>
      <c r="G14" s="9">
        <v>-78.478111111111104</v>
      </c>
      <c r="H14" s="6">
        <v>246844</v>
      </c>
      <c r="I14" s="6">
        <v>98737.600000000006</v>
      </c>
      <c r="J14" s="6">
        <v>1703044</v>
      </c>
    </row>
    <row r="15" spans="1:11" ht="14.4" x14ac:dyDescent="0.3">
      <c r="A15" s="9" t="s">
        <v>131</v>
      </c>
      <c r="B15" s="9" t="s">
        <v>175</v>
      </c>
      <c r="C15" s="9" t="s">
        <v>15</v>
      </c>
      <c r="D15" s="9" t="s">
        <v>176</v>
      </c>
      <c r="E15" s="2" t="s">
        <v>158</v>
      </c>
      <c r="F15" s="9">
        <v>-0.170472222222224</v>
      </c>
      <c r="G15" s="9">
        <v>-78.475944444444394</v>
      </c>
      <c r="H15" s="9">
        <v>243135</v>
      </c>
      <c r="I15" s="6">
        <v>97254</v>
      </c>
      <c r="J15" s="6">
        <v>1318170</v>
      </c>
      <c r="K15" s="13"/>
    </row>
    <row r="16" spans="1:11" ht="14.4" x14ac:dyDescent="0.3">
      <c r="A16" s="9" t="s">
        <v>31</v>
      </c>
      <c r="B16" s="9" t="s">
        <v>175</v>
      </c>
      <c r="C16" s="9" t="s">
        <v>15</v>
      </c>
      <c r="D16" s="9" t="s">
        <v>185</v>
      </c>
      <c r="E16" s="2" t="s">
        <v>66</v>
      </c>
      <c r="F16" s="9">
        <v>-0.24961111111109799</v>
      </c>
      <c r="G16" s="9">
        <v>-78.5211388888888</v>
      </c>
      <c r="H16" s="6">
        <v>214998</v>
      </c>
      <c r="I16" s="6">
        <v>85999.200000000012</v>
      </c>
      <c r="J16" s="6">
        <v>1434188</v>
      </c>
    </row>
    <row r="17" spans="1:10" ht="14.4" x14ac:dyDescent="0.3">
      <c r="A17" s="9" t="s">
        <v>31</v>
      </c>
      <c r="B17" s="9" t="s">
        <v>181</v>
      </c>
      <c r="C17" s="9" t="s">
        <v>10</v>
      </c>
      <c r="D17" s="9" t="s">
        <v>182</v>
      </c>
      <c r="E17" s="2" t="s">
        <v>88</v>
      </c>
      <c r="F17" s="9">
        <v>-2.1417222222222301</v>
      </c>
      <c r="G17" s="9">
        <v>-79.923388888888894</v>
      </c>
      <c r="H17" s="6">
        <v>208596</v>
      </c>
      <c r="I17" s="6">
        <v>83438.400000000009</v>
      </c>
      <c r="J17" s="6">
        <v>1068536</v>
      </c>
    </row>
    <row r="18" spans="1:10" ht="14.4" x14ac:dyDescent="0.3">
      <c r="A18" s="9" t="s">
        <v>31</v>
      </c>
      <c r="B18" s="9" t="s">
        <v>186</v>
      </c>
      <c r="C18" s="9" t="s">
        <v>96</v>
      </c>
      <c r="D18" s="9" t="s">
        <v>96</v>
      </c>
      <c r="E18" s="2" t="s">
        <v>99</v>
      </c>
      <c r="F18" s="9">
        <v>-0.94611111111108304</v>
      </c>
      <c r="G18" s="9">
        <v>-80.752027777777698</v>
      </c>
      <c r="H18" s="6">
        <v>28346</v>
      </c>
      <c r="I18" s="6">
        <v>11338.400000000001</v>
      </c>
      <c r="J18" s="6">
        <v>1477784</v>
      </c>
    </row>
    <row r="19" spans="1:10" ht="14.4" x14ac:dyDescent="0.3">
      <c r="A19" s="9" t="s">
        <v>131</v>
      </c>
      <c r="B19" s="9" t="s">
        <v>181</v>
      </c>
      <c r="C19" s="9" t="s">
        <v>10</v>
      </c>
      <c r="D19" s="9" t="s">
        <v>182</v>
      </c>
      <c r="E19" s="2" t="s">
        <v>146</v>
      </c>
      <c r="F19" s="9">
        <v>-2.1713055555555298</v>
      </c>
      <c r="G19" s="9">
        <v>-79.892416666666605</v>
      </c>
      <c r="H19" s="9">
        <v>205196</v>
      </c>
      <c r="I19" s="6">
        <v>82078.400000000009</v>
      </c>
      <c r="J19" s="6">
        <v>1080720</v>
      </c>
    </row>
    <row r="20" spans="1:10" ht="14.4" x14ac:dyDescent="0.3">
      <c r="A20" s="9" t="s">
        <v>9</v>
      </c>
      <c r="B20" s="9" t="s">
        <v>175</v>
      </c>
      <c r="C20" s="9" t="s">
        <v>15</v>
      </c>
      <c r="D20" s="9" t="s">
        <v>187</v>
      </c>
      <c r="E20" s="2" t="s">
        <v>18</v>
      </c>
      <c r="F20" s="9">
        <v>-0.15431534096117799</v>
      </c>
      <c r="G20" s="9">
        <v>-78.477423652858405</v>
      </c>
      <c r="H20" s="6">
        <v>201942</v>
      </c>
      <c r="I20" s="6">
        <v>80776.800000000003</v>
      </c>
      <c r="J20" s="7">
        <v>1373730</v>
      </c>
    </row>
    <row r="21" spans="1:10" ht="14.4" x14ac:dyDescent="0.3">
      <c r="A21" s="9" t="s">
        <v>131</v>
      </c>
      <c r="B21" s="9" t="s">
        <v>181</v>
      </c>
      <c r="C21" s="9" t="s">
        <v>10</v>
      </c>
      <c r="D21" s="9" t="s">
        <v>188</v>
      </c>
      <c r="E21" s="2" t="s">
        <v>140</v>
      </c>
      <c r="F21" s="9">
        <v>-2.2280277777777702</v>
      </c>
      <c r="G21" s="9">
        <v>-79.897916666666603</v>
      </c>
      <c r="H21" s="9">
        <v>201441</v>
      </c>
      <c r="I21" s="6">
        <v>80576.400000000009</v>
      </c>
      <c r="J21" s="6">
        <v>1059180</v>
      </c>
    </row>
    <row r="22" spans="1:10" ht="14.4" x14ac:dyDescent="0.3">
      <c r="A22" s="9" t="s">
        <v>31</v>
      </c>
      <c r="B22" s="9" t="s">
        <v>175</v>
      </c>
      <c r="C22" s="9" t="s">
        <v>15</v>
      </c>
      <c r="D22" s="9" t="s">
        <v>176</v>
      </c>
      <c r="E22" s="2" t="s">
        <v>46</v>
      </c>
      <c r="F22" s="9">
        <v>-0.17758333333332499</v>
      </c>
      <c r="G22" s="9">
        <v>-78.477611111111102</v>
      </c>
      <c r="H22" s="6">
        <v>196793</v>
      </c>
      <c r="I22" s="6">
        <v>78717.200000000012</v>
      </c>
      <c r="J22" s="6">
        <v>2729552</v>
      </c>
    </row>
    <row r="23" spans="1:10" ht="14.4" x14ac:dyDescent="0.3">
      <c r="A23" s="9" t="s">
        <v>131</v>
      </c>
      <c r="B23" s="9" t="s">
        <v>175</v>
      </c>
      <c r="C23" s="9" t="s">
        <v>15</v>
      </c>
      <c r="D23" s="9" t="s">
        <v>189</v>
      </c>
      <c r="E23" s="2" t="s">
        <v>162</v>
      </c>
      <c r="F23" s="9">
        <v>-0.191758000000018</v>
      </c>
      <c r="G23" s="9">
        <v>-78.487796000000003</v>
      </c>
      <c r="H23" s="9">
        <v>193140</v>
      </c>
      <c r="I23" s="6">
        <v>77256</v>
      </c>
      <c r="J23" s="6">
        <v>1024110</v>
      </c>
    </row>
    <row r="24" spans="1:10" ht="14.4" x14ac:dyDescent="0.3">
      <c r="A24" s="9" t="s">
        <v>112</v>
      </c>
      <c r="B24" s="9" t="s">
        <v>175</v>
      </c>
      <c r="C24" s="9" t="s">
        <v>15</v>
      </c>
      <c r="D24" s="9" t="s">
        <v>176</v>
      </c>
      <c r="E24" s="2" t="s">
        <v>117</v>
      </c>
      <c r="F24" s="9">
        <v>-0.16847222222220301</v>
      </c>
      <c r="G24" s="9">
        <v>-78.486249999999998</v>
      </c>
      <c r="H24" s="6">
        <v>188112</v>
      </c>
      <c r="I24" s="6">
        <v>75244.800000000003</v>
      </c>
      <c r="J24" s="6">
        <v>1470980</v>
      </c>
    </row>
    <row r="25" spans="1:10" ht="14.4" x14ac:dyDescent="0.3">
      <c r="A25" s="9" t="s">
        <v>9</v>
      </c>
      <c r="B25" s="9" t="s">
        <v>175</v>
      </c>
      <c r="C25" s="9" t="s">
        <v>15</v>
      </c>
      <c r="D25" s="9" t="s">
        <v>176</v>
      </c>
      <c r="E25" s="2" t="s">
        <v>26</v>
      </c>
      <c r="F25" s="9">
        <v>-0.19127599999999501</v>
      </c>
      <c r="G25" s="9">
        <v>-78.486224000000007</v>
      </c>
      <c r="H25" s="6">
        <v>180072</v>
      </c>
      <c r="I25" s="14">
        <v>72028.800000000003</v>
      </c>
      <c r="J25" s="7">
        <v>1210380</v>
      </c>
    </row>
    <row r="26" spans="1:10" ht="14.4" x14ac:dyDescent="0.3">
      <c r="A26" s="9" t="s">
        <v>131</v>
      </c>
      <c r="B26" s="9" t="s">
        <v>181</v>
      </c>
      <c r="C26" s="9" t="s">
        <v>10</v>
      </c>
      <c r="D26" s="9" t="s">
        <v>190</v>
      </c>
      <c r="E26" s="2" t="s">
        <v>154</v>
      </c>
      <c r="F26" s="9">
        <v>-2.0509444444444398</v>
      </c>
      <c r="G26" s="9">
        <v>-79.913833333333301</v>
      </c>
      <c r="H26" s="9">
        <v>179511</v>
      </c>
      <c r="I26" s="6">
        <v>71804.400000000009</v>
      </c>
      <c r="J26" s="6">
        <v>936240</v>
      </c>
    </row>
    <row r="27" spans="1:10" ht="14.4" x14ac:dyDescent="0.3">
      <c r="A27" s="9" t="s">
        <v>31</v>
      </c>
      <c r="B27" s="9" t="s">
        <v>175</v>
      </c>
      <c r="C27" s="9" t="s">
        <v>15</v>
      </c>
      <c r="D27" s="9" t="s">
        <v>191</v>
      </c>
      <c r="E27" s="2" t="s">
        <v>68</v>
      </c>
      <c r="F27" s="9">
        <v>-0.27724999999998601</v>
      </c>
      <c r="G27" s="9">
        <v>-78.542694444444393</v>
      </c>
      <c r="H27" s="6">
        <v>175962</v>
      </c>
      <c r="I27" s="6">
        <v>70384.800000000003</v>
      </c>
      <c r="J27" s="6">
        <v>2214156</v>
      </c>
    </row>
    <row r="28" spans="1:10" ht="14.4" x14ac:dyDescent="0.3">
      <c r="A28" s="9" t="s">
        <v>31</v>
      </c>
      <c r="B28" s="9" t="s">
        <v>175</v>
      </c>
      <c r="C28" s="9" t="s">
        <v>15</v>
      </c>
      <c r="D28" s="9" t="s">
        <v>187</v>
      </c>
      <c r="E28" s="2" t="s">
        <v>38</v>
      </c>
      <c r="F28" s="9">
        <v>-0.153972222222235</v>
      </c>
      <c r="G28" s="9">
        <v>-78.476722222222193</v>
      </c>
      <c r="H28" s="6">
        <v>175565</v>
      </c>
      <c r="I28" s="6">
        <v>70226</v>
      </c>
      <c r="J28" s="6">
        <v>2605624</v>
      </c>
    </row>
    <row r="29" spans="1:10" ht="14.4" x14ac:dyDescent="0.3">
      <c r="A29" s="9" t="s">
        <v>131</v>
      </c>
      <c r="B29" s="9" t="s">
        <v>186</v>
      </c>
      <c r="C29" s="9" t="s">
        <v>96</v>
      </c>
      <c r="D29" s="9" t="s">
        <v>96</v>
      </c>
      <c r="E29" s="2" t="s">
        <v>164</v>
      </c>
      <c r="F29" s="9">
        <v>-0.94491666666665497</v>
      </c>
      <c r="G29" s="9">
        <v>-80.733722222222198</v>
      </c>
      <c r="H29" s="9">
        <v>123088</v>
      </c>
      <c r="I29" s="6">
        <v>49235.200000000004</v>
      </c>
      <c r="J29" s="6">
        <v>1128450</v>
      </c>
    </row>
    <row r="30" spans="1:10" ht="14.4" x14ac:dyDescent="0.3">
      <c r="A30" s="9" t="s">
        <v>31</v>
      </c>
      <c r="B30" s="9" t="s">
        <v>181</v>
      </c>
      <c r="C30" s="9" t="s">
        <v>10</v>
      </c>
      <c r="D30" s="9" t="s">
        <v>182</v>
      </c>
      <c r="E30" s="2" t="s">
        <v>86</v>
      </c>
      <c r="F30" s="9">
        <v>-2.1506666666666501</v>
      </c>
      <c r="G30" s="9">
        <v>-79.892805555555498</v>
      </c>
      <c r="H30" s="6">
        <v>168471</v>
      </c>
      <c r="I30" s="6">
        <v>67388.400000000009</v>
      </c>
      <c r="J30" s="6">
        <v>1165024</v>
      </c>
    </row>
    <row r="31" spans="1:10" ht="14.4" x14ac:dyDescent="0.3">
      <c r="A31" s="9" t="s">
        <v>131</v>
      </c>
      <c r="B31" s="9" t="s">
        <v>181</v>
      </c>
      <c r="C31" s="9" t="s">
        <v>10</v>
      </c>
      <c r="D31" s="9" t="s">
        <v>192</v>
      </c>
      <c r="E31" s="2" t="s">
        <v>150</v>
      </c>
      <c r="F31" s="9">
        <v>-2.06125000000003</v>
      </c>
      <c r="G31" s="15">
        <v>-79.872222199999996</v>
      </c>
      <c r="H31" s="9">
        <v>154395</v>
      </c>
      <c r="I31" s="6">
        <v>61758</v>
      </c>
      <c r="J31" s="6">
        <v>798360</v>
      </c>
    </row>
    <row r="32" spans="1:10" ht="14.4" x14ac:dyDescent="0.3">
      <c r="A32" s="9" t="s">
        <v>131</v>
      </c>
      <c r="B32" s="9" t="s">
        <v>181</v>
      </c>
      <c r="C32" s="9" t="s">
        <v>10</v>
      </c>
      <c r="D32" s="9" t="s">
        <v>182</v>
      </c>
      <c r="E32" s="2" t="s">
        <v>132</v>
      </c>
      <c r="F32" s="9">
        <v>-2.1683056000000001</v>
      </c>
      <c r="G32" s="9">
        <v>-79.879805599999898</v>
      </c>
      <c r="H32" s="9">
        <v>153593</v>
      </c>
      <c r="I32" s="6">
        <v>61437.200000000004</v>
      </c>
      <c r="J32" s="6">
        <v>793860</v>
      </c>
    </row>
    <row r="33" spans="1:10" ht="14.4" x14ac:dyDescent="0.3">
      <c r="A33" s="9" t="s">
        <v>131</v>
      </c>
      <c r="B33" s="9" t="s">
        <v>181</v>
      </c>
      <c r="C33" s="9" t="s">
        <v>10</v>
      </c>
      <c r="D33" s="9" t="s">
        <v>192</v>
      </c>
      <c r="E33" s="2" t="s">
        <v>152</v>
      </c>
      <c r="F33" s="9">
        <v>-2.0456388888888499</v>
      </c>
      <c r="G33" s="9">
        <v>-79.870249999999999</v>
      </c>
      <c r="H33" s="9">
        <v>149502</v>
      </c>
      <c r="I33" s="6">
        <v>59800.800000000003</v>
      </c>
      <c r="J33" s="6">
        <v>770820</v>
      </c>
    </row>
    <row r="34" spans="1:10" ht="14.4" x14ac:dyDescent="0.3">
      <c r="A34" s="9" t="s">
        <v>31</v>
      </c>
      <c r="B34" s="9" t="s">
        <v>177</v>
      </c>
      <c r="C34" s="9" t="s">
        <v>101</v>
      </c>
      <c r="D34" s="9" t="s">
        <v>193</v>
      </c>
      <c r="E34" s="2" t="s">
        <v>102</v>
      </c>
      <c r="F34" s="9">
        <v>-1.23766666666668</v>
      </c>
      <c r="G34" s="9">
        <v>-78.633499999999998</v>
      </c>
      <c r="H34" s="6">
        <v>20089</v>
      </c>
      <c r="I34" s="6">
        <v>8035.6</v>
      </c>
      <c r="J34" s="6">
        <v>729764</v>
      </c>
    </row>
    <row r="35" spans="1:10" ht="14.4" x14ac:dyDescent="0.3">
      <c r="A35" s="9" t="s">
        <v>112</v>
      </c>
      <c r="B35" s="9" t="s">
        <v>175</v>
      </c>
      <c r="C35" s="9" t="s">
        <v>15</v>
      </c>
      <c r="D35" s="9" t="s">
        <v>194</v>
      </c>
      <c r="E35" s="2" t="s">
        <v>113</v>
      </c>
      <c r="F35" s="9">
        <v>-0.188499999999998</v>
      </c>
      <c r="G35" s="9">
        <v>-78.447722222222197</v>
      </c>
      <c r="H35" s="6">
        <v>149156</v>
      </c>
      <c r="I35" s="6">
        <v>59662.400000000001</v>
      </c>
      <c r="J35" s="6">
        <v>1167124</v>
      </c>
    </row>
    <row r="36" spans="1:10" ht="14.4" x14ac:dyDescent="0.3">
      <c r="A36" s="9" t="s">
        <v>9</v>
      </c>
      <c r="B36" s="9" t="s">
        <v>181</v>
      </c>
      <c r="C36" s="9" t="s">
        <v>10</v>
      </c>
      <c r="D36" s="9" t="s">
        <v>182</v>
      </c>
      <c r="E36" s="2" t="s">
        <v>11</v>
      </c>
      <c r="F36" s="9">
        <v>-2.16783333333332</v>
      </c>
      <c r="G36" s="9">
        <v>-79.896388888888893</v>
      </c>
      <c r="H36" s="6">
        <v>148538</v>
      </c>
      <c r="I36" s="6">
        <v>59415.200000000004</v>
      </c>
      <c r="J36" s="7">
        <v>2451750</v>
      </c>
    </row>
    <row r="37" spans="1:10" ht="14.4" x14ac:dyDescent="0.3">
      <c r="A37" s="9" t="s">
        <v>131</v>
      </c>
      <c r="B37" s="9" t="s">
        <v>181</v>
      </c>
      <c r="C37" s="9" t="s">
        <v>10</v>
      </c>
      <c r="D37" s="9" t="s">
        <v>182</v>
      </c>
      <c r="E37" s="2" t="s">
        <v>144</v>
      </c>
      <c r="F37" s="9">
        <v>-2.1773611111111002</v>
      </c>
      <c r="G37" s="9">
        <v>-79.903361111111096</v>
      </c>
      <c r="H37" s="9">
        <v>147456</v>
      </c>
      <c r="I37" s="6">
        <v>58982.400000000001</v>
      </c>
      <c r="J37" s="6">
        <v>760140</v>
      </c>
    </row>
    <row r="38" spans="1:10" ht="14.4" x14ac:dyDescent="0.3">
      <c r="A38" s="9" t="s">
        <v>31</v>
      </c>
      <c r="B38" s="9" t="s">
        <v>175</v>
      </c>
      <c r="C38" s="9" t="s">
        <v>15</v>
      </c>
      <c r="D38" s="9" t="s">
        <v>176</v>
      </c>
      <c r="E38" s="2" t="s">
        <v>52</v>
      </c>
      <c r="F38" s="9">
        <v>-0.181333333333318</v>
      </c>
      <c r="G38" s="9">
        <v>-78.486361111111094</v>
      </c>
      <c r="H38" s="6">
        <v>143347</v>
      </c>
      <c r="I38" s="6">
        <v>57338.8</v>
      </c>
      <c r="J38" s="6">
        <v>1606248</v>
      </c>
    </row>
    <row r="39" spans="1:10" ht="14.4" x14ac:dyDescent="0.3">
      <c r="A39" s="9" t="s">
        <v>31</v>
      </c>
      <c r="B39" s="9" t="s">
        <v>175</v>
      </c>
      <c r="C39" s="9" t="s">
        <v>15</v>
      </c>
      <c r="D39" s="9" t="s">
        <v>176</v>
      </c>
      <c r="E39" s="2" t="s">
        <v>56</v>
      </c>
      <c r="F39" s="9">
        <v>-0.19086111111110801</v>
      </c>
      <c r="G39" s="9">
        <v>-78.482027777777702</v>
      </c>
      <c r="H39" s="6">
        <v>135983</v>
      </c>
      <c r="I39" s="6">
        <v>54393.200000000004</v>
      </c>
      <c r="J39" s="6">
        <v>1615432</v>
      </c>
    </row>
    <row r="40" spans="1:10" ht="14.4" x14ac:dyDescent="0.3">
      <c r="A40" s="9" t="s">
        <v>31</v>
      </c>
      <c r="B40" s="9" t="s">
        <v>175</v>
      </c>
      <c r="C40" s="9" t="s">
        <v>15</v>
      </c>
      <c r="D40" s="9" t="s">
        <v>184</v>
      </c>
      <c r="E40" s="2" t="s">
        <v>34</v>
      </c>
      <c r="F40" s="9">
        <v>-0.101861111111111</v>
      </c>
      <c r="G40" s="9">
        <v>-78.490249999999904</v>
      </c>
      <c r="H40" s="6">
        <v>124664</v>
      </c>
      <c r="I40" s="6">
        <v>49865.600000000006</v>
      </c>
      <c r="J40" s="6">
        <v>2708188</v>
      </c>
    </row>
    <row r="41" spans="1:10" ht="14.4" x14ac:dyDescent="0.3">
      <c r="A41" s="9" t="s">
        <v>31</v>
      </c>
      <c r="B41" s="9" t="s">
        <v>175</v>
      </c>
      <c r="C41" s="9" t="s">
        <v>15</v>
      </c>
      <c r="D41" s="9" t="s">
        <v>176</v>
      </c>
      <c r="E41" s="2" t="s">
        <v>50</v>
      </c>
      <c r="F41" s="9">
        <v>-0.18766666666665999</v>
      </c>
      <c r="G41" s="9">
        <v>-78.487833333333299</v>
      </c>
      <c r="H41" s="6">
        <v>123650</v>
      </c>
      <c r="I41" s="6">
        <v>49460</v>
      </c>
      <c r="J41" s="6">
        <v>1722784</v>
      </c>
    </row>
    <row r="42" spans="1:10" ht="14.4" x14ac:dyDescent="0.3">
      <c r="A42" s="9" t="s">
        <v>31</v>
      </c>
      <c r="B42" s="9" t="s">
        <v>186</v>
      </c>
      <c r="C42" s="9" t="s">
        <v>96</v>
      </c>
      <c r="D42" s="9" t="s">
        <v>182</v>
      </c>
      <c r="E42" s="2" t="s">
        <v>97</v>
      </c>
      <c r="F42" s="9">
        <v>-0.94152777777777696</v>
      </c>
      <c r="G42" s="9">
        <v>-80.730638888888805</v>
      </c>
      <c r="H42" s="6">
        <v>79551</v>
      </c>
      <c r="I42" s="6">
        <v>31820.400000000001</v>
      </c>
      <c r="J42" s="6">
        <v>1604512</v>
      </c>
    </row>
    <row r="43" spans="1:10" ht="14.4" x14ac:dyDescent="0.3">
      <c r="A43" s="9" t="s">
        <v>112</v>
      </c>
      <c r="B43" s="9" t="s">
        <v>175</v>
      </c>
      <c r="C43" s="9" t="s">
        <v>15</v>
      </c>
      <c r="D43" s="9" t="s">
        <v>189</v>
      </c>
      <c r="E43" s="2" t="s">
        <v>115</v>
      </c>
      <c r="F43" s="9">
        <v>-0.17074999999998999</v>
      </c>
      <c r="G43" s="9">
        <v>-78.490027777777698</v>
      </c>
      <c r="H43" s="6">
        <v>121580</v>
      </c>
      <c r="I43" s="6">
        <v>48632</v>
      </c>
      <c r="J43" s="6">
        <v>962304</v>
      </c>
    </row>
    <row r="44" spans="1:10" ht="14.4" x14ac:dyDescent="0.3">
      <c r="A44" s="9" t="s">
        <v>31</v>
      </c>
      <c r="B44" s="9" t="s">
        <v>175</v>
      </c>
      <c r="C44" s="9" t="s">
        <v>15</v>
      </c>
      <c r="D44" s="9" t="s">
        <v>176</v>
      </c>
      <c r="E44" s="2" t="s">
        <v>195</v>
      </c>
      <c r="F44" s="9"/>
      <c r="G44" s="11"/>
      <c r="H44" s="6">
        <v>120557</v>
      </c>
      <c r="I44" s="6">
        <v>48222.8</v>
      </c>
      <c r="J44" s="6">
        <v>1660540</v>
      </c>
    </row>
    <row r="45" spans="1:10" ht="14.4" x14ac:dyDescent="0.3">
      <c r="A45" s="9" t="s">
        <v>9</v>
      </c>
      <c r="B45" s="9" t="s">
        <v>175</v>
      </c>
      <c r="C45" s="9" t="s">
        <v>15</v>
      </c>
      <c r="D45" s="9" t="s">
        <v>176</v>
      </c>
      <c r="E45" s="2" t="s">
        <v>24</v>
      </c>
      <c r="F45" s="9">
        <v>-0.20873434414394801</v>
      </c>
      <c r="G45" s="9">
        <v>-78.424916320129697</v>
      </c>
      <c r="H45" s="6">
        <v>114228</v>
      </c>
      <c r="I45" s="6">
        <v>45691.200000000004</v>
      </c>
      <c r="J45" s="7">
        <v>1622940</v>
      </c>
    </row>
    <row r="46" spans="1:10" ht="14.4" x14ac:dyDescent="0.3">
      <c r="A46" s="9" t="s">
        <v>112</v>
      </c>
      <c r="B46" s="9" t="s">
        <v>181</v>
      </c>
      <c r="C46" s="9" t="s">
        <v>10</v>
      </c>
      <c r="D46" s="9" t="s">
        <v>182</v>
      </c>
      <c r="E46" s="2" t="s">
        <v>123</v>
      </c>
      <c r="F46" s="9">
        <v>-2.1642500000000102</v>
      </c>
      <c r="G46" s="9">
        <v>-79.892138888888894</v>
      </c>
      <c r="H46" s="6">
        <v>112245</v>
      </c>
      <c r="I46" s="6">
        <v>44898</v>
      </c>
      <c r="J46" s="6">
        <v>1207808</v>
      </c>
    </row>
    <row r="47" spans="1:10" ht="14.4" x14ac:dyDescent="0.3">
      <c r="A47" s="9" t="s">
        <v>131</v>
      </c>
      <c r="B47" s="9" t="s">
        <v>175</v>
      </c>
      <c r="C47" s="9" t="s">
        <v>15</v>
      </c>
      <c r="D47" s="9" t="s">
        <v>194</v>
      </c>
      <c r="E47" s="2" t="s">
        <v>160</v>
      </c>
      <c r="F47" s="9">
        <v>-0.20708333333331799</v>
      </c>
      <c r="G47" s="9">
        <v>-78.427416666666602</v>
      </c>
      <c r="H47" s="9">
        <v>110453</v>
      </c>
      <c r="I47" s="6">
        <v>44181.200000000004</v>
      </c>
      <c r="J47" s="6">
        <v>564900</v>
      </c>
    </row>
    <row r="48" spans="1:10" ht="14.4" x14ac:dyDescent="0.3">
      <c r="A48" s="9" t="s">
        <v>112</v>
      </c>
      <c r="B48" s="9" t="s">
        <v>181</v>
      </c>
      <c r="C48" s="9" t="s">
        <v>10</v>
      </c>
      <c r="D48" s="9" t="s">
        <v>192</v>
      </c>
      <c r="E48" s="2" t="s">
        <v>125</v>
      </c>
      <c r="F48" s="9">
        <v>-2.1286944444444602</v>
      </c>
      <c r="G48" s="9">
        <v>-79.884777777777799</v>
      </c>
      <c r="H48" s="6">
        <v>107822</v>
      </c>
      <c r="I48" s="6">
        <v>43128.800000000003</v>
      </c>
      <c r="J48" s="6">
        <v>1166200</v>
      </c>
    </row>
    <row r="49" spans="1:10" ht="14.4" x14ac:dyDescent="0.3">
      <c r="A49" s="9" t="s">
        <v>31</v>
      </c>
      <c r="B49" s="9" t="s">
        <v>175</v>
      </c>
      <c r="C49" s="9" t="s">
        <v>15</v>
      </c>
      <c r="D49" s="9" t="s">
        <v>196</v>
      </c>
      <c r="E49" s="2" t="s">
        <v>64</v>
      </c>
      <c r="F49" s="9">
        <v>-0.24766666666665699</v>
      </c>
      <c r="G49" s="9">
        <v>-78.525972222222194</v>
      </c>
      <c r="H49" s="6">
        <v>106681</v>
      </c>
      <c r="I49" s="6">
        <v>42672.4</v>
      </c>
      <c r="J49" s="6">
        <v>1042272</v>
      </c>
    </row>
    <row r="50" spans="1:10" ht="14.4" x14ac:dyDescent="0.3">
      <c r="A50" s="9" t="s">
        <v>31</v>
      </c>
      <c r="B50" s="9" t="s">
        <v>181</v>
      </c>
      <c r="C50" s="9" t="s">
        <v>10</v>
      </c>
      <c r="D50" s="9" t="s">
        <v>182</v>
      </c>
      <c r="E50" s="2" t="s">
        <v>197</v>
      </c>
      <c r="F50" s="12"/>
      <c r="G50" s="11"/>
      <c r="H50" s="6">
        <v>106341</v>
      </c>
      <c r="I50" s="6">
        <v>42536.4</v>
      </c>
      <c r="J50" s="6">
        <v>1510068</v>
      </c>
    </row>
    <row r="51" spans="1:10" ht="14.4" x14ac:dyDescent="0.3">
      <c r="A51" s="9" t="s">
        <v>31</v>
      </c>
      <c r="B51" s="9" t="s">
        <v>175</v>
      </c>
      <c r="C51" s="9" t="s">
        <v>15</v>
      </c>
      <c r="D51" s="9" t="s">
        <v>184</v>
      </c>
      <c r="E51" s="2" t="s">
        <v>36</v>
      </c>
      <c r="F51" s="9">
        <v>-0.121250000000011</v>
      </c>
      <c r="G51" s="9">
        <v>-78.493888888888804</v>
      </c>
      <c r="H51" s="6">
        <v>101492</v>
      </c>
      <c r="I51" s="6">
        <v>40596.800000000003</v>
      </c>
      <c r="J51" s="6">
        <v>1097516</v>
      </c>
    </row>
    <row r="52" spans="1:10" ht="14.4" x14ac:dyDescent="0.3">
      <c r="A52" s="9" t="s">
        <v>31</v>
      </c>
      <c r="B52" s="9" t="s">
        <v>175</v>
      </c>
      <c r="C52" s="9" t="s">
        <v>15</v>
      </c>
      <c r="D52" s="9" t="s">
        <v>189</v>
      </c>
      <c r="E52" s="2" t="s">
        <v>58</v>
      </c>
      <c r="F52" s="9">
        <v>-0.20333333333334999</v>
      </c>
      <c r="G52" s="9">
        <v>-78.4831111111111</v>
      </c>
      <c r="H52" s="6">
        <v>99762</v>
      </c>
      <c r="I52" s="6">
        <v>39904.800000000003</v>
      </c>
      <c r="J52" s="6">
        <v>1919820</v>
      </c>
    </row>
    <row r="53" spans="1:10" ht="14.4" x14ac:dyDescent="0.3">
      <c r="A53" s="9" t="s">
        <v>31</v>
      </c>
      <c r="B53" s="9" t="s">
        <v>175</v>
      </c>
      <c r="C53" s="9" t="s">
        <v>15</v>
      </c>
      <c r="D53" s="9" t="s">
        <v>198</v>
      </c>
      <c r="E53" s="2" t="s">
        <v>32</v>
      </c>
      <c r="F53" s="9">
        <v>-0.10869444444442</v>
      </c>
      <c r="G53" s="9">
        <v>-78.461555555555506</v>
      </c>
      <c r="H53" s="6">
        <v>99524</v>
      </c>
      <c r="I53" s="6">
        <v>39809.600000000006</v>
      </c>
      <c r="J53" s="6">
        <v>1447544</v>
      </c>
    </row>
    <row r="54" spans="1:10" ht="14.4" x14ac:dyDescent="0.3">
      <c r="A54" s="9" t="s">
        <v>31</v>
      </c>
      <c r="B54" s="9" t="s">
        <v>175</v>
      </c>
      <c r="C54" s="9" t="s">
        <v>15</v>
      </c>
      <c r="D54" s="9" t="s">
        <v>189</v>
      </c>
      <c r="E54" s="2" t="s">
        <v>44</v>
      </c>
      <c r="F54" s="9">
        <v>-0.16861111111107999</v>
      </c>
      <c r="G54" s="9">
        <v>-78.487333333333297</v>
      </c>
      <c r="H54" s="6">
        <v>96494</v>
      </c>
      <c r="I54" s="6">
        <v>38597.599999999999</v>
      </c>
      <c r="J54" s="6">
        <v>1856624</v>
      </c>
    </row>
    <row r="55" spans="1:10" ht="14.4" x14ac:dyDescent="0.3">
      <c r="A55" s="9" t="s">
        <v>31</v>
      </c>
      <c r="B55" s="9" t="s">
        <v>175</v>
      </c>
      <c r="C55" s="9" t="s">
        <v>15</v>
      </c>
      <c r="D55" s="9" t="s">
        <v>194</v>
      </c>
      <c r="E55" s="2" t="s">
        <v>70</v>
      </c>
      <c r="F55" s="9">
        <v>-0.198083333333329</v>
      </c>
      <c r="G55" s="9">
        <v>-78.436833333333297</v>
      </c>
      <c r="H55" s="6">
        <v>90335</v>
      </c>
      <c r="I55" s="6">
        <v>36134</v>
      </c>
      <c r="J55" s="6">
        <v>3111696</v>
      </c>
    </row>
    <row r="56" spans="1:10" ht="14.4" x14ac:dyDescent="0.3">
      <c r="A56" s="9" t="s">
        <v>31</v>
      </c>
      <c r="B56" s="9" t="s">
        <v>175</v>
      </c>
      <c r="C56" s="9" t="s">
        <v>15</v>
      </c>
      <c r="D56" s="9" t="s">
        <v>176</v>
      </c>
      <c r="E56" s="2" t="s">
        <v>48</v>
      </c>
      <c r="F56" s="9">
        <v>-0.18202777777777901</v>
      </c>
      <c r="G56" s="9">
        <v>-78.475750000000005</v>
      </c>
      <c r="H56" s="6">
        <v>88223</v>
      </c>
      <c r="I56" s="6">
        <v>35289.200000000004</v>
      </c>
      <c r="J56" s="6">
        <v>1475068</v>
      </c>
    </row>
    <row r="57" spans="1:10" ht="14.4" x14ac:dyDescent="0.3">
      <c r="A57" s="9" t="s">
        <v>112</v>
      </c>
      <c r="B57" s="9" t="s">
        <v>181</v>
      </c>
      <c r="C57" s="9" t="s">
        <v>10</v>
      </c>
      <c r="D57" s="9" t="s">
        <v>182</v>
      </c>
      <c r="E57" s="2" t="s">
        <v>127</v>
      </c>
      <c r="F57" s="9">
        <v>-2.1755833333333201</v>
      </c>
      <c r="G57" s="9">
        <v>-79.878749999999997</v>
      </c>
      <c r="H57" s="6">
        <v>87261</v>
      </c>
      <c r="I57" s="6">
        <v>34904.400000000001</v>
      </c>
      <c r="J57" s="6">
        <v>723772</v>
      </c>
    </row>
    <row r="58" spans="1:10" ht="14.4" x14ac:dyDescent="0.3">
      <c r="A58" s="9" t="s">
        <v>112</v>
      </c>
      <c r="B58" s="9" t="s">
        <v>181</v>
      </c>
      <c r="C58" s="9" t="s">
        <v>10</v>
      </c>
      <c r="D58" s="9" t="s">
        <v>182</v>
      </c>
      <c r="E58" s="2" t="s">
        <v>129</v>
      </c>
      <c r="F58" s="9">
        <v>-2.17086111111111</v>
      </c>
      <c r="G58" s="9">
        <v>-79.884222222222206</v>
      </c>
      <c r="H58" s="6">
        <v>84752</v>
      </c>
      <c r="I58" s="6">
        <v>33900.800000000003</v>
      </c>
      <c r="J58" s="6">
        <v>606312</v>
      </c>
    </row>
    <row r="59" spans="1:10" ht="14.4" x14ac:dyDescent="0.3">
      <c r="A59" s="9" t="s">
        <v>31</v>
      </c>
      <c r="B59" s="9" t="s">
        <v>175</v>
      </c>
      <c r="C59" s="9" t="s">
        <v>15</v>
      </c>
      <c r="D59" s="9" t="s">
        <v>194</v>
      </c>
      <c r="E59" s="2" t="s">
        <v>74</v>
      </c>
      <c r="F59" s="9">
        <v>-0.21058333333332799</v>
      </c>
      <c r="G59" s="9">
        <v>-78.421277777777703</v>
      </c>
      <c r="H59" s="6">
        <v>78226</v>
      </c>
      <c r="I59" s="6">
        <v>31290.400000000001</v>
      </c>
      <c r="J59" s="6">
        <v>866012</v>
      </c>
    </row>
    <row r="60" spans="1:10" ht="14.4" x14ac:dyDescent="0.3">
      <c r="A60" s="9" t="s">
        <v>31</v>
      </c>
      <c r="B60" s="9" t="s">
        <v>181</v>
      </c>
      <c r="C60" s="9" t="s">
        <v>10</v>
      </c>
      <c r="D60" s="9" t="s">
        <v>182</v>
      </c>
      <c r="E60" s="2" t="s">
        <v>84</v>
      </c>
      <c r="F60" s="9">
        <v>-2.1712222222221902</v>
      </c>
      <c r="G60" s="9">
        <v>-79.889666666666599</v>
      </c>
      <c r="H60" s="6">
        <v>76107</v>
      </c>
      <c r="I60" s="6">
        <v>30442.800000000003</v>
      </c>
      <c r="J60" s="6">
        <v>1363124</v>
      </c>
    </row>
    <row r="61" spans="1:10" ht="14.4" x14ac:dyDescent="0.3">
      <c r="A61" s="9" t="s">
        <v>31</v>
      </c>
      <c r="B61" s="9" t="s">
        <v>175</v>
      </c>
      <c r="C61" s="9" t="s">
        <v>15</v>
      </c>
      <c r="D61" s="9" t="s">
        <v>194</v>
      </c>
      <c r="E61" s="2" t="s">
        <v>72</v>
      </c>
      <c r="F61" s="9">
        <v>-0.20602777777778</v>
      </c>
      <c r="G61" s="9">
        <v>-78.433277777777704</v>
      </c>
      <c r="H61" s="6">
        <v>72261</v>
      </c>
      <c r="I61" s="6">
        <v>28904.400000000001</v>
      </c>
      <c r="J61" s="6">
        <v>1079092</v>
      </c>
    </row>
    <row r="62" spans="1:10" ht="14.4" x14ac:dyDescent="0.3">
      <c r="A62" s="9" t="s">
        <v>31</v>
      </c>
      <c r="B62" s="9" t="s">
        <v>175</v>
      </c>
      <c r="C62" s="9" t="s">
        <v>15</v>
      </c>
      <c r="D62" s="9" t="s">
        <v>187</v>
      </c>
      <c r="E62" s="2" t="s">
        <v>40</v>
      </c>
      <c r="F62" s="9">
        <v>-0.16360477074687299</v>
      </c>
      <c r="G62" s="9">
        <v>-78.475110038728005</v>
      </c>
      <c r="H62" s="6">
        <v>69685</v>
      </c>
      <c r="I62" s="6">
        <v>27874</v>
      </c>
      <c r="J62" s="6">
        <v>1337756</v>
      </c>
    </row>
    <row r="63" spans="1:10" ht="14.4" x14ac:dyDescent="0.3">
      <c r="A63" s="9" t="s">
        <v>31</v>
      </c>
      <c r="B63" s="9" t="s">
        <v>175</v>
      </c>
      <c r="C63" s="9" t="s">
        <v>15</v>
      </c>
      <c r="D63" s="9" t="s">
        <v>187</v>
      </c>
      <c r="E63" s="2" t="s">
        <v>42</v>
      </c>
      <c r="F63" s="9">
        <v>-0.16641666666668101</v>
      </c>
      <c r="G63" s="9">
        <v>-78.468305555555503</v>
      </c>
      <c r="H63" s="6">
        <v>69247</v>
      </c>
      <c r="I63" s="6">
        <v>27698.800000000003</v>
      </c>
      <c r="J63" s="6">
        <v>1775172</v>
      </c>
    </row>
    <row r="64" spans="1:10" ht="14.4" x14ac:dyDescent="0.3">
      <c r="A64" s="9" t="s">
        <v>31</v>
      </c>
      <c r="B64" s="9" t="s">
        <v>181</v>
      </c>
      <c r="C64" s="9" t="s">
        <v>10</v>
      </c>
      <c r="D64" s="9" t="s">
        <v>182</v>
      </c>
      <c r="E64" s="2" t="s">
        <v>82</v>
      </c>
      <c r="F64" s="9">
        <v>-2.1617500000000098</v>
      </c>
      <c r="G64" s="9">
        <v>-79.911444444444399</v>
      </c>
      <c r="H64" s="6">
        <v>66257</v>
      </c>
      <c r="I64" s="6">
        <v>26502.800000000003</v>
      </c>
      <c r="J64" s="6">
        <v>1036448</v>
      </c>
    </row>
    <row r="65" spans="1:10" ht="14.4" x14ac:dyDescent="0.3">
      <c r="A65" s="9" t="s">
        <v>31</v>
      </c>
      <c r="B65" s="9" t="s">
        <v>175</v>
      </c>
      <c r="C65" s="9" t="s">
        <v>15</v>
      </c>
      <c r="D65" s="9" t="s">
        <v>176</v>
      </c>
      <c r="E65" s="2" t="s">
        <v>54</v>
      </c>
      <c r="F65" s="9">
        <v>-0.17413888888888099</v>
      </c>
      <c r="G65" s="9">
        <v>-78.493472222222195</v>
      </c>
      <c r="H65" s="6">
        <v>63323</v>
      </c>
      <c r="I65" s="6">
        <v>25329.200000000001</v>
      </c>
      <c r="J65" s="6">
        <v>1241016</v>
      </c>
    </row>
    <row r="66" spans="1:10" ht="14.4" x14ac:dyDescent="0.3">
      <c r="A66" s="9" t="s">
        <v>31</v>
      </c>
      <c r="B66" s="9" t="s">
        <v>181</v>
      </c>
      <c r="C66" s="9" t="s">
        <v>10</v>
      </c>
      <c r="D66" s="9" t="s">
        <v>182</v>
      </c>
      <c r="E66" s="2" t="s">
        <v>80</v>
      </c>
      <c r="F66" s="9">
        <v>-2.1709166666666602</v>
      </c>
      <c r="G66" s="9">
        <v>-79.898944444444396</v>
      </c>
      <c r="H66" s="6">
        <v>62618</v>
      </c>
      <c r="I66" s="6">
        <v>25047.200000000001</v>
      </c>
      <c r="J66" s="6">
        <v>1496768</v>
      </c>
    </row>
    <row r="67" spans="1:10" ht="14.4" x14ac:dyDescent="0.3">
      <c r="A67" s="9" t="s">
        <v>31</v>
      </c>
      <c r="B67" s="9" t="s">
        <v>175</v>
      </c>
      <c r="C67" s="9" t="s">
        <v>15</v>
      </c>
      <c r="D67" s="9" t="s">
        <v>189</v>
      </c>
      <c r="E67" s="2" t="s">
        <v>60</v>
      </c>
      <c r="F67" s="9">
        <v>-0.183749999999994</v>
      </c>
      <c r="G67" s="9">
        <v>-78.502416666666605</v>
      </c>
      <c r="H67" s="6">
        <v>59534</v>
      </c>
      <c r="I67" s="6">
        <v>23813.600000000002</v>
      </c>
      <c r="J67" s="6">
        <v>727468</v>
      </c>
    </row>
    <row r="68" spans="1:10" ht="14.4" x14ac:dyDescent="0.3">
      <c r="A68" s="9" t="s">
        <v>31</v>
      </c>
      <c r="B68" s="9" t="s">
        <v>181</v>
      </c>
      <c r="C68" s="9" t="s">
        <v>10</v>
      </c>
      <c r="D68" s="9" t="s">
        <v>199</v>
      </c>
      <c r="E68" s="2" t="s">
        <v>78</v>
      </c>
      <c r="F68" s="9">
        <v>-2.2018055555555498</v>
      </c>
      <c r="G68" s="9">
        <v>-79.893833333333305</v>
      </c>
      <c r="H68" s="6">
        <v>58789</v>
      </c>
      <c r="I68" s="6">
        <v>23515.600000000002</v>
      </c>
      <c r="J68" s="6">
        <v>955752</v>
      </c>
    </row>
    <row r="69" spans="1:10" ht="14.4" x14ac:dyDescent="0.3">
      <c r="A69" s="9" t="s">
        <v>31</v>
      </c>
      <c r="B69" s="9" t="s">
        <v>200</v>
      </c>
      <c r="C69" s="9" t="s">
        <v>106</v>
      </c>
      <c r="D69" s="9" t="s">
        <v>201</v>
      </c>
      <c r="E69" s="2" t="s">
        <v>107</v>
      </c>
      <c r="F69" s="9">
        <v>0.348833333333333</v>
      </c>
      <c r="G69" s="9">
        <v>-78.124638888888796</v>
      </c>
      <c r="H69" s="6">
        <v>42324</v>
      </c>
      <c r="I69" s="6">
        <v>16929.600000000002</v>
      </c>
      <c r="J69" s="6">
        <v>28216</v>
      </c>
    </row>
    <row r="70" spans="1:10" ht="14.4" x14ac:dyDescent="0.3">
      <c r="A70" s="9" t="s">
        <v>31</v>
      </c>
      <c r="B70" s="9" t="s">
        <v>181</v>
      </c>
      <c r="C70" s="9" t="s">
        <v>10</v>
      </c>
      <c r="D70" s="9" t="s">
        <v>192</v>
      </c>
      <c r="E70" s="2" t="s">
        <v>94</v>
      </c>
      <c r="F70" s="9">
        <v>-2.0560809999999998</v>
      </c>
      <c r="G70" s="9">
        <v>-79.875361999999996</v>
      </c>
      <c r="H70" s="6">
        <v>53805</v>
      </c>
      <c r="I70" s="6">
        <v>21522</v>
      </c>
      <c r="J70" s="6">
        <v>1954204</v>
      </c>
    </row>
    <row r="71" spans="1:10" ht="14.4" x14ac:dyDescent="0.3">
      <c r="A71" s="9" t="s">
        <v>31</v>
      </c>
      <c r="B71" s="9" t="s">
        <v>181</v>
      </c>
      <c r="C71" s="9" t="s">
        <v>10</v>
      </c>
      <c r="D71" s="9" t="s">
        <v>202</v>
      </c>
      <c r="E71" s="2" t="s">
        <v>203</v>
      </c>
      <c r="F71" s="12"/>
      <c r="G71" s="12"/>
      <c r="H71" s="6">
        <v>53742</v>
      </c>
      <c r="I71" s="6">
        <v>21496.800000000003</v>
      </c>
      <c r="J71" s="6">
        <v>956144</v>
      </c>
    </row>
    <row r="72" spans="1:10" ht="14.4" x14ac:dyDescent="0.3">
      <c r="A72" s="9" t="s">
        <v>31</v>
      </c>
      <c r="B72" s="9" t="s">
        <v>181</v>
      </c>
      <c r="C72" s="9" t="s">
        <v>10</v>
      </c>
      <c r="D72" s="9" t="s">
        <v>182</v>
      </c>
      <c r="E72" s="2" t="s">
        <v>92</v>
      </c>
      <c r="F72" s="9">
        <v>-2.1778055555555502</v>
      </c>
      <c r="G72" s="9">
        <v>-79.943833333333302</v>
      </c>
      <c r="H72" s="6">
        <v>53529</v>
      </c>
      <c r="I72" s="6">
        <v>21411.600000000002</v>
      </c>
      <c r="J72" s="6">
        <v>1707692</v>
      </c>
    </row>
    <row r="73" spans="1:10" ht="14.4" x14ac:dyDescent="0.3">
      <c r="A73" s="9" t="s">
        <v>9</v>
      </c>
      <c r="B73" s="9" t="s">
        <v>175</v>
      </c>
      <c r="C73" s="9" t="s">
        <v>204</v>
      </c>
      <c r="D73" s="9" t="s">
        <v>22</v>
      </c>
      <c r="E73" s="2" t="s">
        <v>22</v>
      </c>
      <c r="F73" s="9">
        <v>-0.30356650000001201</v>
      </c>
      <c r="G73" s="9">
        <v>-78.454263699999998</v>
      </c>
      <c r="H73" s="6">
        <v>234126</v>
      </c>
      <c r="I73" s="6">
        <v>93650.400000000009</v>
      </c>
      <c r="J73" s="7">
        <v>1845780</v>
      </c>
    </row>
    <row r="74" spans="1:10" ht="41.4" x14ac:dyDescent="0.3">
      <c r="A74" s="9" t="s">
        <v>9</v>
      </c>
      <c r="B74" s="16" t="s">
        <v>205</v>
      </c>
      <c r="C74" s="9" t="s">
        <v>28</v>
      </c>
      <c r="D74" s="9" t="s">
        <v>206</v>
      </c>
      <c r="E74" s="2" t="s">
        <v>29</v>
      </c>
      <c r="F74" s="9">
        <v>-0.24857759999998</v>
      </c>
      <c r="G74" s="9">
        <v>-79.157983700000003</v>
      </c>
      <c r="H74" s="6">
        <v>107702</v>
      </c>
      <c r="I74" s="6">
        <v>43080.800000000003</v>
      </c>
      <c r="J74" s="8">
        <v>937800</v>
      </c>
    </row>
    <row r="75" spans="1:10" ht="41.4" x14ac:dyDescent="0.3">
      <c r="A75" s="9" t="s">
        <v>31</v>
      </c>
      <c r="B75" s="16" t="s">
        <v>205</v>
      </c>
      <c r="C75" s="9" t="s">
        <v>28</v>
      </c>
      <c r="D75" s="9" t="s">
        <v>206</v>
      </c>
      <c r="E75" s="2" t="s">
        <v>104</v>
      </c>
      <c r="F75" s="9">
        <v>-0.25263888888888603</v>
      </c>
      <c r="G75" s="9">
        <v>-79.165472222222206</v>
      </c>
      <c r="H75" s="6">
        <v>24166</v>
      </c>
      <c r="I75" s="6">
        <v>9666.4</v>
      </c>
      <c r="J75" s="6">
        <v>878248</v>
      </c>
    </row>
    <row r="76" spans="1:10" ht="14.4" x14ac:dyDescent="0.3">
      <c r="A76" s="9" t="s">
        <v>31</v>
      </c>
      <c r="B76" s="9" t="s">
        <v>181</v>
      </c>
      <c r="C76" s="9" t="s">
        <v>10</v>
      </c>
      <c r="D76" s="9" t="s">
        <v>182</v>
      </c>
      <c r="E76" s="2" t="s">
        <v>90</v>
      </c>
      <c r="F76" s="9">
        <v>-2.1575555555555499</v>
      </c>
      <c r="G76" s="9">
        <v>-79.880138888888794</v>
      </c>
      <c r="H76" s="6">
        <v>46314</v>
      </c>
      <c r="I76" s="6">
        <v>18525.600000000002</v>
      </c>
      <c r="J76" s="6">
        <v>958468</v>
      </c>
    </row>
    <row r="77" spans="1:10" ht="14.4" x14ac:dyDescent="0.3">
      <c r="A77" s="9" t="s">
        <v>31</v>
      </c>
      <c r="B77" s="9" t="s">
        <v>181</v>
      </c>
      <c r="C77" s="9" t="s">
        <v>10</v>
      </c>
      <c r="D77" s="9" t="s">
        <v>182</v>
      </c>
      <c r="E77" s="2" t="s">
        <v>76</v>
      </c>
      <c r="F77" s="9">
        <v>-2.15855555555556</v>
      </c>
      <c r="G77" s="9">
        <v>-79.898555555555504</v>
      </c>
      <c r="H77" s="6">
        <v>42063</v>
      </c>
      <c r="I77" s="6">
        <v>16825.2</v>
      </c>
      <c r="J77" s="6">
        <v>118348</v>
      </c>
    </row>
  </sheetData>
  <autoFilter ref="A1:K77" xr:uid="{671B8F51-5F1D-467D-A0B6-391E3D8F0CAC}"/>
  <conditionalFormatting sqref="A1:I2 A3:D77 E76:E77">
    <cfRule type="expression" dxfId="2" priority="2">
      <formula>A1&lt;&gt;#REF!</formula>
    </cfRule>
  </conditionalFormatting>
  <conditionalFormatting sqref="E3:H41 I3:I77 J11:J77 E42:G75 H42:H77">
    <cfRule type="expression" dxfId="1" priority="6">
      <formula>E3&lt;&gt;#REF!</formula>
    </cfRule>
  </conditionalFormatting>
  <conditionalFormatting sqref="J1">
    <cfRule type="expression" dxfId="0" priority="5">
      <formula>J1&lt;&gt;#REF!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24E54736D7744BA5EBA06C81183DE0" ma:contentTypeVersion="19" ma:contentTypeDescription="Crear nuevo documento." ma:contentTypeScope="" ma:versionID="95e825fc9d887fa2b2435d4b073b5ab2">
  <xsd:schema xmlns:xsd="http://www.w3.org/2001/XMLSchema" xmlns:xs="http://www.w3.org/2001/XMLSchema" xmlns:p="http://schemas.microsoft.com/office/2006/metadata/properties" xmlns:ns1="http://schemas.microsoft.com/sharepoint/v3" xmlns:ns3="a4288ec8-ab48-4990-9eef-bf82ceebfd2a" xmlns:ns4="2f0cdc8f-c91e-4eb0-9c97-e7acd3dbfee0" targetNamespace="http://schemas.microsoft.com/office/2006/metadata/properties" ma:root="true" ma:fieldsID="6ca962d7a4c3070f95e2d365cf82679d" ns1:_="" ns3:_="" ns4:_="">
    <xsd:import namespace="http://schemas.microsoft.com/sharepoint/v3"/>
    <xsd:import namespace="a4288ec8-ab48-4990-9eef-bf82ceebfd2a"/>
    <xsd:import namespace="2f0cdc8f-c91e-4eb0-9c97-e7acd3dbfe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8ec8-ab48-4990-9eef-bf82ceebfd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0cdc8f-c91e-4eb0-9c97-e7acd3dbfee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a4288ec8-ab48-4990-9eef-bf82ceebfd2a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BCC60ED-4E70-4971-A54A-CF2ED21DDD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288ec8-ab48-4990-9eef-bf82ceebfd2a"/>
    <ds:schemaRef ds:uri="2f0cdc8f-c91e-4eb0-9c97-e7acd3dbfe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839ADB-EE9D-4B49-B839-A5E087ACCA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0E1C9D-BAD5-4047-959E-2AD0CFF035E8}">
  <ds:schemaRefs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sharepoint/v3"/>
    <ds:schemaRef ds:uri="2f0cdc8f-c91e-4eb0-9c97-e7acd3dbfee0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a4288ec8-ab48-4990-9eef-bf82ceebfd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HOJA DE ENVÍO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Paredes</dc:creator>
  <cp:keywords/>
  <dc:description/>
  <cp:lastModifiedBy>Soporte BI RAM</cp:lastModifiedBy>
  <cp:revision/>
  <dcterms:created xsi:type="dcterms:W3CDTF">2025-09-19T15:01:06Z</dcterms:created>
  <dcterms:modified xsi:type="dcterms:W3CDTF">2025-11-14T19:56:03Z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0x010100BC24E54736D7744BA5EBA06C81183DE0</vt:lpwstr>
  </property>
</Properties>
</file>